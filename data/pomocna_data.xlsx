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t\Desktop\BP\Python BP\"/>
    </mc:Choice>
  </mc:AlternateContent>
  <xr:revisionPtr revIDLastSave="0" documentId="13_ncr:1_{B9FBF82A-5545-4FBE-ACA4-C1A82C215FB8}" xr6:coauthVersionLast="47" xr6:coauthVersionMax="47" xr10:uidLastSave="{00000000-0000-0000-0000-000000000000}"/>
  <bookViews>
    <workbookView xWindow="-98" yWindow="-98" windowWidth="19396" windowHeight="11475" xr2:uid="{5FF6495B-7AF6-4919-8E28-F1E01B0F1571}"/>
  </bookViews>
  <sheets>
    <sheet name="ČEZ" sheetId="1" r:id="rId1"/>
    <sheet name="Erste Group" sheetId="7" r:id="rId2"/>
    <sheet name="KB" sheetId="5" r:id="rId3"/>
    <sheet name="VIG" sheetId="11" r:id="rId4"/>
    <sheet name="MONETA" sheetId="3" r:id="rId5"/>
    <sheet name="KOFOLA" sheetId="4" r:id="rId6"/>
    <sheet name="COLTCZ" sheetId="9" r:id="rId7"/>
    <sheet name="O2 CR" sheetId="6" r:id="rId8"/>
    <sheet name="Phillip Morris" sheetId="13" r:id="rId9"/>
    <sheet name="PFNONWOVENS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14" l="1"/>
  <c r="E11" i="9"/>
  <c r="R10" i="7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B12" i="6"/>
  <c r="B12" i="4"/>
  <c r="J10" i="7"/>
  <c r="J12" i="7" s="1"/>
  <c r="C9" i="6"/>
  <c r="I5" i="14"/>
  <c r="C13" i="14"/>
  <c r="D13" i="14" s="1"/>
  <c r="E13" i="14" s="1"/>
  <c r="F13" i="14" s="1"/>
  <c r="G13" i="14" s="1"/>
  <c r="H13" i="14" s="1"/>
  <c r="I13" i="14" s="1"/>
  <c r="J13" i="14" s="1"/>
  <c r="K13" i="14" s="1"/>
  <c r="C12" i="14"/>
  <c r="J11" i="14"/>
  <c r="I11" i="14"/>
  <c r="H11" i="14"/>
  <c r="G11" i="14"/>
  <c r="F11" i="14"/>
  <c r="E11" i="14"/>
  <c r="D11" i="14"/>
  <c r="C11" i="14"/>
  <c r="B11" i="14"/>
  <c r="B14" i="14" s="1"/>
  <c r="K8" i="14"/>
  <c r="J7" i="14"/>
  <c r="J8" i="14" s="1"/>
  <c r="I7" i="14"/>
  <c r="I8" i="14" s="1"/>
  <c r="H7" i="14"/>
  <c r="H8" i="14" s="1"/>
  <c r="G7" i="14"/>
  <c r="G8" i="14" s="1"/>
  <c r="F7" i="14"/>
  <c r="F8" i="14" s="1"/>
  <c r="E7" i="14"/>
  <c r="E8" i="14" s="1"/>
  <c r="D7" i="14"/>
  <c r="D8" i="14" s="1"/>
  <c r="C7" i="14"/>
  <c r="C8" i="14" s="1"/>
  <c r="B7" i="14"/>
  <c r="B8" i="14" s="1"/>
  <c r="K5" i="14"/>
  <c r="J5" i="14"/>
  <c r="H5" i="14"/>
  <c r="G5" i="14"/>
  <c r="F5" i="14"/>
  <c r="E5" i="14"/>
  <c r="D5" i="14"/>
  <c r="C5" i="14"/>
  <c r="B5" i="14"/>
  <c r="B14" i="11"/>
  <c r="C13" i="11"/>
  <c r="D13" i="11" s="1"/>
  <c r="E13" i="11" s="1"/>
  <c r="F13" i="11" s="1"/>
  <c r="G13" i="11" s="1"/>
  <c r="H13" i="11" s="1"/>
  <c r="I13" i="11" s="1"/>
  <c r="J13" i="11" s="1"/>
  <c r="K13" i="11" s="1"/>
  <c r="C12" i="11"/>
  <c r="D11" i="9"/>
  <c r="C11" i="9"/>
  <c r="C10" i="9"/>
  <c r="C12" i="9" s="1"/>
  <c r="B12" i="9"/>
  <c r="B15" i="7"/>
  <c r="C14" i="7"/>
  <c r="D14" i="7" s="1"/>
  <c r="E14" i="7" s="1"/>
  <c r="F14" i="7" s="1"/>
  <c r="G14" i="7" s="1"/>
  <c r="H14" i="7" s="1"/>
  <c r="I14" i="7" s="1"/>
  <c r="J14" i="7" s="1"/>
  <c r="K14" i="7" s="1"/>
  <c r="C13" i="7"/>
  <c r="C11" i="6"/>
  <c r="D11" i="6" s="1"/>
  <c r="E11" i="6" s="1"/>
  <c r="F11" i="6" s="1"/>
  <c r="G11" i="6" s="1"/>
  <c r="H11" i="6" s="1"/>
  <c r="I11" i="6" s="1"/>
  <c r="J11" i="6" s="1"/>
  <c r="K11" i="6" s="1"/>
  <c r="C10" i="6"/>
  <c r="B12" i="5"/>
  <c r="C11" i="5"/>
  <c r="D11" i="5" s="1"/>
  <c r="E11" i="5" s="1"/>
  <c r="F11" i="5" s="1"/>
  <c r="G11" i="5" s="1"/>
  <c r="H11" i="5" s="1"/>
  <c r="I11" i="5" s="1"/>
  <c r="J11" i="5" s="1"/>
  <c r="K11" i="5" s="1"/>
  <c r="C10" i="5"/>
  <c r="D10" i="5" s="1"/>
  <c r="C11" i="4"/>
  <c r="D11" i="4" s="1"/>
  <c r="C10" i="4"/>
  <c r="C12" i="4" s="1"/>
  <c r="B12" i="3"/>
  <c r="C11" i="3"/>
  <c r="D11" i="3" s="1"/>
  <c r="E11" i="3" s="1"/>
  <c r="F11" i="3" s="1"/>
  <c r="G11" i="3" s="1"/>
  <c r="H11" i="3" s="1"/>
  <c r="I11" i="3" s="1"/>
  <c r="C10" i="3"/>
  <c r="B13" i="1"/>
  <c r="C12" i="1"/>
  <c r="D12" i="1" s="1"/>
  <c r="E12" i="1" s="1"/>
  <c r="F12" i="1" s="1"/>
  <c r="G12" i="1" s="1"/>
  <c r="H12" i="1" s="1"/>
  <c r="I12" i="1" s="1"/>
  <c r="C11" i="1"/>
  <c r="C11" i="13"/>
  <c r="D11" i="13" s="1"/>
  <c r="E11" i="13" s="1"/>
  <c r="F11" i="13" s="1"/>
  <c r="G11" i="13" s="1"/>
  <c r="H11" i="13" s="1"/>
  <c r="I11" i="13" s="1"/>
  <c r="J11" i="13" s="1"/>
  <c r="C12" i="13"/>
  <c r="D12" i="13" s="1"/>
  <c r="B13" i="13"/>
  <c r="B31" i="13"/>
  <c r="J8" i="13"/>
  <c r="J9" i="13" s="1"/>
  <c r="I8" i="13"/>
  <c r="I9" i="13" s="1"/>
  <c r="H8" i="13"/>
  <c r="H9" i="13" s="1"/>
  <c r="G8" i="13"/>
  <c r="G9" i="13" s="1"/>
  <c r="F8" i="13"/>
  <c r="F9" i="13" s="1"/>
  <c r="E8" i="13"/>
  <c r="E9" i="13" s="1"/>
  <c r="D8" i="13"/>
  <c r="D9" i="13" s="1"/>
  <c r="C8" i="13"/>
  <c r="C9" i="13" s="1"/>
  <c r="B8" i="13"/>
  <c r="B9" i="13" s="1"/>
  <c r="J6" i="13"/>
  <c r="I6" i="13"/>
  <c r="D6" i="13"/>
  <c r="C6" i="13"/>
  <c r="B6" i="13"/>
  <c r="H6" i="13"/>
  <c r="G6" i="13"/>
  <c r="F6" i="13"/>
  <c r="E6" i="13"/>
  <c r="I5" i="11"/>
  <c r="C5" i="11"/>
  <c r="D5" i="11"/>
  <c r="E5" i="11"/>
  <c r="F5" i="11"/>
  <c r="G5" i="11"/>
  <c r="H5" i="11"/>
  <c r="J5" i="11"/>
  <c r="K5" i="11"/>
  <c r="L5" i="11"/>
  <c r="M5" i="11"/>
  <c r="N5" i="11"/>
  <c r="O5" i="11"/>
  <c r="P5" i="11"/>
  <c r="Q5" i="11"/>
  <c r="D8" i="11"/>
  <c r="E8" i="11"/>
  <c r="F8" i="11"/>
  <c r="G8" i="11"/>
  <c r="I8" i="11"/>
  <c r="K8" i="11"/>
  <c r="L8" i="11"/>
  <c r="M8" i="11"/>
  <c r="N8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B11" i="11"/>
  <c r="B5" i="11"/>
  <c r="Q8" i="11"/>
  <c r="P8" i="11"/>
  <c r="O8" i="11"/>
  <c r="J7" i="11"/>
  <c r="J8" i="11" s="1"/>
  <c r="I7" i="11"/>
  <c r="H7" i="11"/>
  <c r="H8" i="11" s="1"/>
  <c r="G7" i="11"/>
  <c r="F7" i="11"/>
  <c r="E7" i="11"/>
  <c r="D7" i="11"/>
  <c r="C7" i="11"/>
  <c r="C8" i="11" s="1"/>
  <c r="B7" i="11"/>
  <c r="B8" i="11" s="1"/>
  <c r="C12" i="7"/>
  <c r="D12" i="7"/>
  <c r="E12" i="7"/>
  <c r="F12" i="7"/>
  <c r="G12" i="7"/>
  <c r="H12" i="7"/>
  <c r="I12" i="7"/>
  <c r="K12" i="7"/>
  <c r="L12" i="7"/>
  <c r="N12" i="7"/>
  <c r="O12" i="7"/>
  <c r="P12" i="7"/>
  <c r="Q12" i="7"/>
  <c r="R12" i="7"/>
  <c r="S12" i="7"/>
  <c r="T12" i="7"/>
  <c r="U12" i="7"/>
  <c r="V12" i="7"/>
  <c r="B12" i="7"/>
  <c r="E7" i="9"/>
  <c r="E8" i="9" s="1"/>
  <c r="D7" i="9"/>
  <c r="D8" i="9" s="1"/>
  <c r="C7" i="9"/>
  <c r="C8" i="9" s="1"/>
  <c r="B7" i="9"/>
  <c r="B8" i="9" s="1"/>
  <c r="E5" i="9"/>
  <c r="D5" i="9"/>
  <c r="C5" i="9"/>
  <c r="B5" i="9"/>
  <c r="M6" i="7"/>
  <c r="L6" i="7"/>
  <c r="K6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B9" i="7"/>
  <c r="C6" i="7"/>
  <c r="D6" i="7"/>
  <c r="E6" i="7"/>
  <c r="F6" i="7"/>
  <c r="G6" i="7"/>
  <c r="H6" i="7"/>
  <c r="I6" i="7"/>
  <c r="J6" i="7"/>
  <c r="N6" i="7"/>
  <c r="O6" i="7"/>
  <c r="P6" i="7"/>
  <c r="Q6" i="7"/>
  <c r="R6" i="7"/>
  <c r="S6" i="7"/>
  <c r="T6" i="7"/>
  <c r="U6" i="7"/>
  <c r="V6" i="7"/>
  <c r="B6" i="7"/>
  <c r="Q5" i="6"/>
  <c r="H7" i="6"/>
  <c r="I7" i="6"/>
  <c r="I8" i="6" s="1"/>
  <c r="J7" i="6"/>
  <c r="K7" i="6"/>
  <c r="K8" i="6" s="1"/>
  <c r="L7" i="6"/>
  <c r="L8" i="6" s="1"/>
  <c r="M7" i="6"/>
  <c r="M8" i="6" s="1"/>
  <c r="N7" i="6"/>
  <c r="N8" i="6" s="1"/>
  <c r="O7" i="6"/>
  <c r="O8" i="6" s="1"/>
  <c r="P7" i="6"/>
  <c r="P8" i="6" s="1"/>
  <c r="Q7" i="6"/>
  <c r="Q8" i="6" s="1"/>
  <c r="R7" i="6"/>
  <c r="R8" i="6" s="1"/>
  <c r="S7" i="6"/>
  <c r="S8" i="6" s="1"/>
  <c r="F7" i="6"/>
  <c r="G7" i="6"/>
  <c r="C7" i="6"/>
  <c r="D7" i="6"/>
  <c r="E7" i="6"/>
  <c r="E8" i="6" s="1"/>
  <c r="B7" i="6"/>
  <c r="B5" i="6"/>
  <c r="J8" i="6"/>
  <c r="H8" i="6"/>
  <c r="G8" i="6"/>
  <c r="F8" i="6"/>
  <c r="D8" i="6"/>
  <c r="C8" i="6"/>
  <c r="S5" i="6"/>
  <c r="R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R8" i="5"/>
  <c r="V8" i="5"/>
  <c r="U8" i="5"/>
  <c r="T8" i="5"/>
  <c r="S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I7" i="4"/>
  <c r="I8" i="4" s="1"/>
  <c r="H7" i="4"/>
  <c r="H8" i="4" s="1"/>
  <c r="G7" i="4"/>
  <c r="G8" i="4" s="1"/>
  <c r="F7" i="4"/>
  <c r="F8" i="4" s="1"/>
  <c r="E7" i="4"/>
  <c r="E8" i="4" s="1"/>
  <c r="D7" i="4"/>
  <c r="D8" i="4" s="1"/>
  <c r="C7" i="4"/>
  <c r="C8" i="4" s="1"/>
  <c r="B7" i="4"/>
  <c r="B8" i="4" s="1"/>
  <c r="I5" i="4"/>
  <c r="H5" i="4"/>
  <c r="G5" i="4"/>
  <c r="F5" i="4"/>
  <c r="E5" i="4"/>
  <c r="D5" i="4"/>
  <c r="C5" i="4"/>
  <c r="B5" i="4"/>
  <c r="I7" i="3"/>
  <c r="I8" i="3" s="1"/>
  <c r="H7" i="3"/>
  <c r="H8" i="3" s="1"/>
  <c r="G7" i="3"/>
  <c r="G8" i="3" s="1"/>
  <c r="F7" i="3"/>
  <c r="F8" i="3" s="1"/>
  <c r="E7" i="3"/>
  <c r="E8" i="3" s="1"/>
  <c r="D7" i="3"/>
  <c r="D8" i="3" s="1"/>
  <c r="C7" i="3"/>
  <c r="C8" i="3" s="1"/>
  <c r="B7" i="3"/>
  <c r="B8" i="3" s="1"/>
  <c r="I5" i="3"/>
  <c r="H5" i="3"/>
  <c r="G5" i="3"/>
  <c r="F5" i="3"/>
  <c r="E5" i="3"/>
  <c r="D5" i="3"/>
  <c r="C5" i="3"/>
  <c r="B5" i="3"/>
  <c r="V8" i="1"/>
  <c r="V9" i="1"/>
  <c r="T8" i="1"/>
  <c r="U8" i="1"/>
  <c r="U9" i="1" s="1"/>
  <c r="T9" i="1"/>
  <c r="R8" i="1"/>
  <c r="R9" i="1" s="1"/>
  <c r="S8" i="1"/>
  <c r="S9" i="1" s="1"/>
  <c r="P8" i="1"/>
  <c r="P9" i="1" s="1"/>
  <c r="Q8" i="1"/>
  <c r="Q9" i="1" s="1"/>
  <c r="L8" i="1"/>
  <c r="L9" i="1" s="1"/>
  <c r="M8" i="1"/>
  <c r="M9" i="1" s="1"/>
  <c r="N8" i="1"/>
  <c r="N9" i="1" s="1"/>
  <c r="O8" i="1"/>
  <c r="O9" i="1" s="1"/>
  <c r="K8" i="1"/>
  <c r="K9" i="1" s="1"/>
  <c r="K6" i="1"/>
  <c r="L6" i="1"/>
  <c r="M6" i="1"/>
  <c r="N6" i="1"/>
  <c r="O6" i="1"/>
  <c r="P6" i="1"/>
  <c r="Q6" i="1"/>
  <c r="R6" i="1"/>
  <c r="S6" i="1"/>
  <c r="T6" i="1"/>
  <c r="U6" i="1"/>
  <c r="V6" i="1"/>
  <c r="C8" i="1"/>
  <c r="C9" i="1" s="1"/>
  <c r="D8" i="1"/>
  <c r="D9" i="1" s="1"/>
  <c r="E8" i="1"/>
  <c r="E9" i="1" s="1"/>
  <c r="F8" i="1"/>
  <c r="F9" i="1" s="1"/>
  <c r="G8" i="1"/>
  <c r="G9" i="1" s="1"/>
  <c r="H8" i="1"/>
  <c r="H9" i="1" s="1"/>
  <c r="I8" i="1"/>
  <c r="I9" i="1" s="1"/>
  <c r="J8" i="1"/>
  <c r="J9" i="1" s="1"/>
  <c r="C5" i="1"/>
  <c r="C6" i="1" s="1"/>
  <c r="D5" i="1"/>
  <c r="D6" i="1" s="1"/>
  <c r="E5" i="1"/>
  <c r="E6" i="1" s="1"/>
  <c r="F5" i="1"/>
  <c r="F6" i="1" s="1"/>
  <c r="G5" i="1"/>
  <c r="G6" i="1" s="1"/>
  <c r="H5" i="1"/>
  <c r="H6" i="1" s="1"/>
  <c r="I6" i="1"/>
  <c r="J6" i="1"/>
  <c r="B8" i="1"/>
  <c r="B9" i="1" s="1"/>
  <c r="B5" i="1"/>
  <c r="B6" i="1" s="1"/>
  <c r="C13" i="13" l="1"/>
  <c r="D12" i="5"/>
  <c r="C13" i="1"/>
  <c r="D10" i="9"/>
  <c r="C14" i="14"/>
  <c r="D12" i="14"/>
  <c r="C14" i="11"/>
  <c r="D12" i="11"/>
  <c r="L13" i="11"/>
  <c r="M13" i="11" s="1"/>
  <c r="N13" i="11" s="1"/>
  <c r="O13" i="11" s="1"/>
  <c r="P13" i="11" s="1"/>
  <c r="Q13" i="11" s="1"/>
  <c r="C15" i="7"/>
  <c r="D13" i="7"/>
  <c r="L14" i="7"/>
  <c r="M14" i="7" s="1"/>
  <c r="D10" i="6"/>
  <c r="L11" i="6"/>
  <c r="M11" i="6" s="1"/>
  <c r="N11" i="6" s="1"/>
  <c r="O11" i="6" s="1"/>
  <c r="P11" i="6" s="1"/>
  <c r="Q11" i="6" s="1"/>
  <c r="R11" i="6" s="1"/>
  <c r="S11" i="6" s="1"/>
  <c r="C12" i="5"/>
  <c r="L11" i="5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E10" i="5"/>
  <c r="D10" i="4"/>
  <c r="D12" i="4" s="1"/>
  <c r="E11" i="4"/>
  <c r="J12" i="1"/>
  <c r="C12" i="3"/>
  <c r="D10" i="3"/>
  <c r="D11" i="1"/>
  <c r="D13" i="1" s="1"/>
  <c r="E12" i="13"/>
  <c r="D13" i="13"/>
  <c r="B5" i="5"/>
  <c r="D12" i="9" l="1"/>
  <c r="E10" i="9"/>
  <c r="E12" i="9" s="1"/>
  <c r="N14" i="7"/>
  <c r="O14" i="7" s="1"/>
  <c r="P14" i="7" s="1"/>
  <c r="Q14" i="7" s="1"/>
  <c r="R14" i="7" s="1"/>
  <c r="S14" i="7" s="1"/>
  <c r="T14" i="7" s="1"/>
  <c r="U14" i="7" s="1"/>
  <c r="V14" i="7" s="1"/>
  <c r="M10" i="7"/>
  <c r="M12" i="7" s="1"/>
  <c r="D14" i="14"/>
  <c r="E12" i="14"/>
  <c r="D14" i="11"/>
  <c r="E12" i="11"/>
  <c r="E13" i="7"/>
  <c r="D15" i="7"/>
  <c r="E10" i="6"/>
  <c r="E12" i="5"/>
  <c r="F10" i="5"/>
  <c r="F11" i="4"/>
  <c r="E10" i="4"/>
  <c r="E12" i="4" s="1"/>
  <c r="K12" i="1"/>
  <c r="D12" i="3"/>
  <c r="E10" i="3"/>
  <c r="E11" i="1"/>
  <c r="E13" i="1" s="1"/>
  <c r="E13" i="13"/>
  <c r="F12" i="13"/>
  <c r="B8" i="6"/>
  <c r="F12" i="14" l="1"/>
  <c r="E14" i="14"/>
  <c r="F12" i="11"/>
  <c r="E14" i="11"/>
  <c r="F13" i="7"/>
  <c r="E15" i="7"/>
  <c r="F10" i="6"/>
  <c r="F12" i="5"/>
  <c r="G10" i="5"/>
  <c r="F10" i="4"/>
  <c r="F12" i="4" s="1"/>
  <c r="G11" i="4"/>
  <c r="L12" i="1"/>
  <c r="E12" i="3"/>
  <c r="F10" i="3"/>
  <c r="F11" i="1"/>
  <c r="F13" i="1" s="1"/>
  <c r="G12" i="13"/>
  <c r="F13" i="13"/>
  <c r="G12" i="14" l="1"/>
  <c r="F14" i="14"/>
  <c r="F14" i="11"/>
  <c r="G12" i="11"/>
  <c r="F15" i="7"/>
  <c r="G13" i="7"/>
  <c r="G10" i="6"/>
  <c r="G12" i="5"/>
  <c r="H10" i="5"/>
  <c r="H11" i="4"/>
  <c r="G10" i="4"/>
  <c r="G12" i="4" s="1"/>
  <c r="M12" i="1"/>
  <c r="F12" i="3"/>
  <c r="G10" i="3"/>
  <c r="G11" i="1"/>
  <c r="G13" i="1" s="1"/>
  <c r="H12" i="13"/>
  <c r="G13" i="13"/>
  <c r="H12" i="14" l="1"/>
  <c r="G14" i="14"/>
  <c r="G14" i="11"/>
  <c r="H12" i="11"/>
  <c r="G15" i="7"/>
  <c r="H13" i="7"/>
  <c r="H10" i="6"/>
  <c r="H12" i="5"/>
  <c r="I10" i="5"/>
  <c r="H10" i="4"/>
  <c r="H12" i="4" s="1"/>
  <c r="I11" i="4"/>
  <c r="N12" i="1"/>
  <c r="G12" i="3"/>
  <c r="H10" i="3"/>
  <c r="H11" i="1"/>
  <c r="H13" i="1" s="1"/>
  <c r="I12" i="13"/>
  <c r="H13" i="13"/>
  <c r="I12" i="14" l="1"/>
  <c r="H14" i="14"/>
  <c r="I12" i="11"/>
  <c r="H14" i="11"/>
  <c r="I13" i="7"/>
  <c r="H15" i="7"/>
  <c r="I10" i="6"/>
  <c r="I12" i="5"/>
  <c r="J10" i="5"/>
  <c r="I10" i="4"/>
  <c r="I12" i="4" s="1"/>
  <c r="O12" i="1"/>
  <c r="H12" i="3"/>
  <c r="I10" i="3"/>
  <c r="I11" i="1"/>
  <c r="I13" i="1" s="1"/>
  <c r="J12" i="13"/>
  <c r="J13" i="13" s="1"/>
  <c r="I13" i="13"/>
  <c r="J12" i="5" l="1"/>
  <c r="K10" i="5"/>
  <c r="J12" i="14"/>
  <c r="I14" i="14"/>
  <c r="I14" i="11"/>
  <c r="J12" i="11"/>
  <c r="J13" i="7"/>
  <c r="I15" i="7"/>
  <c r="J10" i="6"/>
  <c r="P12" i="1"/>
  <c r="I12" i="3"/>
  <c r="J11" i="1"/>
  <c r="J13" i="1" l="1"/>
  <c r="K11" i="1"/>
  <c r="J14" i="11"/>
  <c r="K12" i="11"/>
  <c r="J15" i="7"/>
  <c r="K13" i="7"/>
  <c r="K10" i="6"/>
  <c r="L10" i="5"/>
  <c r="K12" i="5"/>
  <c r="J14" i="14"/>
  <c r="K9" i="14"/>
  <c r="K11" i="14" s="1"/>
  <c r="K14" i="14" s="1"/>
  <c r="Q12" i="1"/>
  <c r="L11" i="1" l="1"/>
  <c r="K13" i="1"/>
  <c r="L12" i="11"/>
  <c r="K14" i="11"/>
  <c r="L13" i="7"/>
  <c r="K15" i="7"/>
  <c r="L10" i="6"/>
  <c r="M10" i="5"/>
  <c r="L12" i="5"/>
  <c r="R12" i="1"/>
  <c r="M11" i="1" l="1"/>
  <c r="L13" i="1"/>
  <c r="M12" i="11"/>
  <c r="L14" i="11"/>
  <c r="M13" i="7"/>
  <c r="L15" i="7"/>
  <c r="M10" i="6"/>
  <c r="N10" i="5"/>
  <c r="M12" i="5"/>
  <c r="S12" i="1"/>
  <c r="N11" i="1" l="1"/>
  <c r="M13" i="1"/>
  <c r="N12" i="11"/>
  <c r="M14" i="11"/>
  <c r="N13" i="7"/>
  <c r="M15" i="7"/>
  <c r="N10" i="6"/>
  <c r="O10" i="5"/>
  <c r="N12" i="5"/>
  <c r="T12" i="1"/>
  <c r="O11" i="1" l="1"/>
  <c r="N13" i="1"/>
  <c r="O12" i="11"/>
  <c r="N14" i="11"/>
  <c r="O13" i="7"/>
  <c r="N15" i="7"/>
  <c r="O10" i="6"/>
  <c r="P10" i="5"/>
  <c r="O12" i="5"/>
  <c r="U12" i="1"/>
  <c r="P11" i="1" l="1"/>
  <c r="O13" i="1"/>
  <c r="P12" i="11"/>
  <c r="O14" i="11"/>
  <c r="P13" i="7"/>
  <c r="O15" i="7"/>
  <c r="P10" i="6"/>
  <c r="Q10" i="5"/>
  <c r="P12" i="5"/>
  <c r="V12" i="1"/>
  <c r="Q11" i="1" l="1"/>
  <c r="P13" i="1"/>
  <c r="Q12" i="11"/>
  <c r="Q14" i="11" s="1"/>
  <c r="P14" i="11"/>
  <c r="Q13" i="7"/>
  <c r="P15" i="7"/>
  <c r="Q10" i="6"/>
  <c r="R10" i="5"/>
  <c r="Q12" i="5"/>
  <c r="R11" i="1" l="1"/>
  <c r="Q13" i="1"/>
  <c r="R13" i="7"/>
  <c r="Q15" i="7"/>
  <c r="R10" i="6"/>
  <c r="S10" i="5"/>
  <c r="R12" i="5"/>
  <c r="S11" i="1" l="1"/>
  <c r="R13" i="1"/>
  <c r="S13" i="7"/>
  <c r="R15" i="7"/>
  <c r="S10" i="6"/>
  <c r="T10" i="5"/>
  <c r="S12" i="5"/>
  <c r="T11" i="1" l="1"/>
  <c r="S13" i="1"/>
  <c r="T13" i="7"/>
  <c r="S15" i="7"/>
  <c r="U10" i="5"/>
  <c r="T12" i="5"/>
  <c r="U11" i="1" l="1"/>
  <c r="T13" i="1"/>
  <c r="T15" i="7"/>
  <c r="U13" i="7"/>
  <c r="V10" i="5"/>
  <c r="V12" i="5" s="1"/>
  <c r="U12" i="5"/>
  <c r="V11" i="1" l="1"/>
  <c r="V13" i="1" s="1"/>
  <c r="U13" i="1"/>
  <c r="V13" i="7"/>
  <c r="V15" i="7" s="1"/>
  <c r="U15" i="7"/>
</calcChain>
</file>

<file path=xl/sharedStrings.xml><?xml version="1.0" encoding="utf-8"?>
<sst xmlns="http://schemas.openxmlformats.org/spreadsheetml/2006/main" count="268" uniqueCount="51">
  <si>
    <t>čistý zisk</t>
  </si>
  <si>
    <t>počet akcií</t>
  </si>
  <si>
    <t>P/E</t>
  </si>
  <si>
    <t>P/B</t>
  </si>
  <si>
    <t>DDM</t>
  </si>
  <si>
    <t>EPS (čistý zisk na akcii)</t>
  </si>
  <si>
    <t>Vlastní kapitál</t>
  </si>
  <si>
    <t>BVPS (účetní hodnota na akcii)</t>
  </si>
  <si>
    <t>2003/2004</t>
  </si>
  <si>
    <t>2004/2005</t>
  </si>
  <si>
    <t>2005/2006</t>
  </si>
  <si>
    <t>(rok, z kterého data vycházejí/rok pro který budou použita)</t>
  </si>
  <si>
    <t>2006/2007</t>
  </si>
  <si>
    <t>2007/2008</t>
  </si>
  <si>
    <t>2008/2009</t>
  </si>
  <si>
    <t>2009/2010</t>
  </si>
  <si>
    <t>2010/2011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</si>
  <si>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</si>
  <si>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</si>
  <si>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</si>
  <si>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</si>
  <si>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</si>
  <si>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</si>
  <si>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</si>
  <si>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</si>
  <si>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</si>
  <si>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</si>
  <si>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</si>
  <si>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</si>
  <si>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</si>
  <si>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cena akcie k prvnímu obchodnímu dni</t>
  </si>
  <si>
    <t>cena akcie k prvnímu obchodnímu dni*</t>
  </si>
  <si>
    <t>očekávaný růst dividend (g)</t>
  </si>
  <si>
    <t>požadovaný výnos (r)</t>
  </si>
  <si>
    <t>*v roce 2016 došlo ke štěpení akcie: 1:5</t>
  </si>
  <si>
    <t>VH dle DDM</t>
  </si>
  <si>
    <t>kurz k prvnímu obchodnímu dni (CZK/EUR)</t>
  </si>
  <si>
    <t>EPS (čistý zisk na akcii v EUR)</t>
  </si>
  <si>
    <t>cena akcie k prvnímu obchodnímu dni (CZK)</t>
  </si>
  <si>
    <t>BVPS (účetní hodnota na akcii v EUR)</t>
  </si>
  <si>
    <t>*v roce 2004 došlo ke štěpení akcií 4:1</t>
  </si>
  <si>
    <t>dlouhodobá míra růstu dividend (g)</t>
  </si>
  <si>
    <t>požadovaná míra výnosu (r)</t>
  </si>
  <si>
    <t>DDM (druhý postup)</t>
  </si>
  <si>
    <t>dividenda (D0)</t>
  </si>
  <si>
    <t>dividenda EUR (D0)</t>
  </si>
  <si>
    <t>dividenda CZK (D0)</t>
  </si>
  <si>
    <t>CAGR</t>
  </si>
  <si>
    <t>dividenda CZK</t>
  </si>
  <si>
    <t>požadovaná výnosová míra</t>
  </si>
  <si>
    <t>růst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</si>
</sst>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i/>
      <sz val="11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 applyAlignment="1">
      <alignment horizontal="right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3" fillId="0" borderId="0" xfId="0" applyFon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0" fontId="0" fillId="0" borderId="0" xfId="0" applyNumberFormat="1"/>
    <xf numFmtId="9" fontId="0" fillId="0" borderId="0" xfId="0" applyNumberFormat="1"/>
    <xf numFmtId="0" fontId="4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CBE5-9B5D-4E48-A935-70476224B9A9}">
  <dimension ref="A1:V13"/>
  <sheetViews>
    <sheetView tabSelected="1" zoomScale="88" workbookViewId="0">
      <selection activeCell="V13" sqref="V13"/>
    </sheetView>
  </sheetViews>
  <sheetFormatPr defaultRowHeight="14.25" x14ac:dyDescent="0.45"/>
  <cols>
    <col min="1" max="1" width="29.33203125" customWidth="1"/>
    <col min="2" max="22" width="19.53125" customWidth="1"/>
  </cols>
  <sheetData>
    <row r="1" spans="1:22" ht="28.5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0</v>
      </c>
      <c r="B2">
        <v>13931000000</v>
      </c>
      <c r="C2">
        <v>14268000000</v>
      </c>
      <c r="D2">
        <v>22282000000</v>
      </c>
      <c r="E2">
        <v>28756000000</v>
      </c>
      <c r="F2">
        <v>42764000000</v>
      </c>
      <c r="G2">
        <v>47351000000</v>
      </c>
      <c r="H2">
        <v>51855000000</v>
      </c>
      <c r="I2">
        <v>46941000000</v>
      </c>
      <c r="J2">
        <v>40753000000</v>
      </c>
      <c r="K2">
        <v>40153000000</v>
      </c>
      <c r="L2">
        <v>35207000000</v>
      </c>
    </row>
    <row r="3" spans="1:22" x14ac:dyDescent="0.45">
      <c r="A3" s="5" t="s">
        <v>30</v>
      </c>
      <c r="B3">
        <v>145.69999999999999</v>
      </c>
      <c r="C3">
        <v>340.7</v>
      </c>
      <c r="D3">
        <v>742.8</v>
      </c>
      <c r="E3">
        <v>991</v>
      </c>
      <c r="F3">
        <v>1373</v>
      </c>
      <c r="G3">
        <v>804</v>
      </c>
      <c r="H3">
        <v>864</v>
      </c>
      <c r="I3">
        <v>783</v>
      </c>
      <c r="J3">
        <v>791</v>
      </c>
      <c r="K3">
        <v>680</v>
      </c>
      <c r="L3">
        <v>525</v>
      </c>
      <c r="M3">
        <v>591.6</v>
      </c>
      <c r="N3">
        <v>430.1</v>
      </c>
      <c r="O3">
        <v>422.6</v>
      </c>
      <c r="P3">
        <v>509.5</v>
      </c>
      <c r="Q3">
        <v>540</v>
      </c>
      <c r="R3">
        <v>515</v>
      </c>
      <c r="S3">
        <v>512</v>
      </c>
      <c r="T3">
        <v>806.5</v>
      </c>
      <c r="U3">
        <v>785.5</v>
      </c>
      <c r="V3">
        <v>971.5</v>
      </c>
    </row>
    <row r="4" spans="1:22" x14ac:dyDescent="0.45">
      <c r="A4" s="5" t="s">
        <v>1</v>
      </c>
      <c r="B4" s="1">
        <v>591466000</v>
      </c>
      <c r="C4" s="1">
        <v>592201000</v>
      </c>
      <c r="D4" s="1">
        <v>589771000</v>
      </c>
      <c r="E4" s="1">
        <v>589771000</v>
      </c>
      <c r="F4" s="1">
        <v>541841000</v>
      </c>
      <c r="G4" s="1">
        <v>533040000</v>
      </c>
      <c r="H4">
        <v>533435000</v>
      </c>
      <c r="I4" s="1">
        <v>533905000</v>
      </c>
      <c r="J4">
        <v>534115000</v>
      </c>
      <c r="K4">
        <v>534115000</v>
      </c>
      <c r="L4">
        <v>534115000</v>
      </c>
      <c r="M4">
        <v>534115000</v>
      </c>
      <c r="N4">
        <v>534235000</v>
      </c>
      <c r="O4">
        <v>534235000</v>
      </c>
      <c r="P4">
        <v>534385000</v>
      </c>
      <c r="Q4">
        <v>534865000</v>
      </c>
      <c r="R4">
        <v>535439000</v>
      </c>
      <c r="S4">
        <v>535474000</v>
      </c>
      <c r="T4">
        <v>536731000</v>
      </c>
      <c r="U4">
        <v>536810000</v>
      </c>
      <c r="V4">
        <v>536810000</v>
      </c>
    </row>
    <row r="5" spans="1:22" x14ac:dyDescent="0.45">
      <c r="A5" s="5" t="s">
        <v>5</v>
      </c>
      <c r="B5">
        <f>B2/B4</f>
        <v>23.553340344161796</v>
      </c>
      <c r="C5">
        <f t="shared" ref="C5:H5" si="0">C2/C4</f>
        <v>24.093171068606775</v>
      </c>
      <c r="D5">
        <f t="shared" si="0"/>
        <v>37.780765754843827</v>
      </c>
      <c r="E5">
        <f t="shared" si="0"/>
        <v>48.757907730288537</v>
      </c>
      <c r="F5">
        <f t="shared" si="0"/>
        <v>78.923521844969287</v>
      </c>
      <c r="G5">
        <f t="shared" si="0"/>
        <v>88.83198259042473</v>
      </c>
      <c r="H5">
        <f t="shared" si="0"/>
        <v>97.209594421063485</v>
      </c>
      <c r="I5">
        <v>88.1</v>
      </c>
      <c r="J5">
        <v>76.3</v>
      </c>
      <c r="K5">
        <v>77.599999999999994</v>
      </c>
      <c r="L5">
        <v>67.2</v>
      </c>
      <c r="M5">
        <v>41.9</v>
      </c>
      <c r="N5">
        <v>38.799999999999997</v>
      </c>
      <c r="O5">
        <v>27.7</v>
      </c>
      <c r="P5">
        <v>35.1</v>
      </c>
      <c r="Q5">
        <v>19.3</v>
      </c>
      <c r="R5">
        <v>26.9</v>
      </c>
      <c r="S5">
        <v>10.199999999999999</v>
      </c>
      <c r="T5">
        <v>18.3</v>
      </c>
      <c r="U5">
        <v>150.5</v>
      </c>
      <c r="V5">
        <v>55</v>
      </c>
    </row>
    <row r="6" spans="1:22" x14ac:dyDescent="0.45">
      <c r="A6" s="6" t="s">
        <v>2</v>
      </c>
      <c r="B6" s="2">
        <f>B3/B5</f>
        <v>6.1859590984136092</v>
      </c>
      <c r="C6" s="2">
        <f t="shared" ref="C6:J6" si="1">C3/C5</f>
        <v>14.140936410148583</v>
      </c>
      <c r="D6" s="2">
        <f t="shared" si="1"/>
        <v>19.660797899649943</v>
      </c>
      <c r="E6" s="2">
        <f t="shared" si="1"/>
        <v>20.324908227848102</v>
      </c>
      <c r="F6" s="2">
        <f t="shared" si="1"/>
        <v>17.396588088111493</v>
      </c>
      <c r="G6" s="2">
        <f t="shared" si="1"/>
        <v>9.0507942810077928</v>
      </c>
      <c r="H6" s="2">
        <f t="shared" si="1"/>
        <v>8.8880115707260625</v>
      </c>
      <c r="I6" s="2">
        <f t="shared" si="1"/>
        <v>8.8876276958002283</v>
      </c>
      <c r="J6" s="2">
        <f t="shared" si="1"/>
        <v>10.36697247706422</v>
      </c>
      <c r="K6" s="2">
        <f t="shared" ref="K6" si="2">K3/K5</f>
        <v>8.7628865979381452</v>
      </c>
      <c r="L6" s="2">
        <f t="shared" ref="L6" si="3">L3/L5</f>
        <v>7.8125</v>
      </c>
      <c r="M6" s="2">
        <f t="shared" ref="M6" si="4">M3/M5</f>
        <v>14.119331742243437</v>
      </c>
      <c r="N6" s="2">
        <f t="shared" ref="N6" si="5">N3/N5</f>
        <v>11.085051546391753</v>
      </c>
      <c r="O6" s="2">
        <f t="shared" ref="O6" si="6">O3/O5</f>
        <v>15.256317689530688</v>
      </c>
      <c r="P6" s="2">
        <f t="shared" ref="P6" si="7">P3/P5</f>
        <v>14.515669515669515</v>
      </c>
      <c r="Q6" s="2">
        <f t="shared" ref="Q6" si="8">Q3/Q5</f>
        <v>27.979274611398964</v>
      </c>
      <c r="R6" s="2">
        <f t="shared" ref="R6" si="9">R3/R5</f>
        <v>19.144981412639407</v>
      </c>
      <c r="S6" s="2">
        <f t="shared" ref="S6" si="10">S3/S5</f>
        <v>50.196078431372555</v>
      </c>
      <c r="T6" s="2">
        <f t="shared" ref="T6" si="11">T3/T5</f>
        <v>44.071038251366119</v>
      </c>
      <c r="U6" s="2">
        <f t="shared" ref="U6" si="12">U3/U5</f>
        <v>5.2192691029900331</v>
      </c>
      <c r="V6" s="2">
        <f t="shared" ref="V6" si="13">V3/V5</f>
        <v>17.663636363636364</v>
      </c>
    </row>
    <row r="7" spans="1:22" x14ac:dyDescent="0.45">
      <c r="A7" s="5" t="s">
        <v>6</v>
      </c>
      <c r="B7" s="8">
        <v>217920000000</v>
      </c>
      <c r="C7" s="8">
        <v>178447000000</v>
      </c>
      <c r="D7" s="8">
        <v>191289000000</v>
      </c>
      <c r="E7" s="8">
        <v>207653000000</v>
      </c>
      <c r="F7" s="8">
        <v>184226000000</v>
      </c>
      <c r="G7" s="8">
        <v>185410000000</v>
      </c>
      <c r="H7" s="8">
        <v>206676000000</v>
      </c>
      <c r="I7" s="8">
        <v>227052000000</v>
      </c>
      <c r="J7" s="8">
        <v>232190000000</v>
      </c>
      <c r="K7" s="8">
        <v>254219000000</v>
      </c>
      <c r="L7" s="8">
        <v>262766000000</v>
      </c>
      <c r="M7" s="8">
        <v>265851000000</v>
      </c>
      <c r="N7" s="8">
        <v>272155000000</v>
      </c>
      <c r="O7" s="8">
        <v>261360000000</v>
      </c>
      <c r="P7" s="8">
        <v>254322000000</v>
      </c>
      <c r="Q7" s="8">
        <v>239281000000</v>
      </c>
      <c r="R7" s="8">
        <v>203479000000</v>
      </c>
      <c r="S7" s="8">
        <v>201444726035</v>
      </c>
      <c r="T7" s="8">
        <v>116400000000</v>
      </c>
      <c r="U7" s="8">
        <v>198400000000</v>
      </c>
      <c r="V7" s="8">
        <v>245600000000</v>
      </c>
    </row>
    <row r="8" spans="1:22" x14ac:dyDescent="0.45">
      <c r="A8" s="5" t="s">
        <v>7</v>
      </c>
      <c r="B8">
        <f>B7/B4</f>
        <v>368.44045135307863</v>
      </c>
      <c r="C8">
        <f t="shared" ref="C8:O8" si="14">C7/C4</f>
        <v>301.32843409585598</v>
      </c>
      <c r="D8">
        <f t="shared" si="14"/>
        <v>324.34453372580202</v>
      </c>
      <c r="E8">
        <f t="shared" si="14"/>
        <v>352.09089629703732</v>
      </c>
      <c r="F8">
        <f t="shared" si="14"/>
        <v>340.00011073359161</v>
      </c>
      <c r="G8">
        <f t="shared" si="14"/>
        <v>347.83505928260541</v>
      </c>
      <c r="H8">
        <f t="shared" si="14"/>
        <v>387.44364355544724</v>
      </c>
      <c r="I8">
        <f t="shared" si="14"/>
        <v>425.26666729099747</v>
      </c>
      <c r="J8">
        <f t="shared" si="14"/>
        <v>434.71911479737508</v>
      </c>
      <c r="K8">
        <f t="shared" si="14"/>
        <v>475.9630416670567</v>
      </c>
      <c r="L8">
        <f t="shared" si="14"/>
        <v>491.96521348398755</v>
      </c>
      <c r="M8">
        <f t="shared" si="14"/>
        <v>497.74112316635933</v>
      </c>
      <c r="N8">
        <f t="shared" si="14"/>
        <v>509.42937096970434</v>
      </c>
      <c r="O8">
        <f t="shared" si="14"/>
        <v>489.22290752197068</v>
      </c>
      <c r="P8">
        <f t="shared" ref="P8:Q8" si="15">P7/P4</f>
        <v>475.91530450892145</v>
      </c>
      <c r="Q8">
        <f t="shared" si="15"/>
        <v>447.36709263085078</v>
      </c>
      <c r="R8">
        <f t="shared" ref="R8:S8" si="16">R7/R4</f>
        <v>380.02274768927924</v>
      </c>
      <c r="S8">
        <f t="shared" si="16"/>
        <v>376.1988930088109</v>
      </c>
      <c r="T8">
        <f t="shared" ref="T8:U8" si="17">T7/T4</f>
        <v>216.86841266854347</v>
      </c>
      <c r="U8">
        <f t="shared" si="17"/>
        <v>369.59073042603529</v>
      </c>
      <c r="V8">
        <f t="shared" ref="V8" si="18">V7/V4</f>
        <v>457.51755742255176</v>
      </c>
    </row>
    <row r="9" spans="1:22" x14ac:dyDescent="0.45">
      <c r="A9" s="6" t="s">
        <v>3</v>
      </c>
      <c r="B9" s="2">
        <f>B3/B8</f>
        <v>0.39545060664464021</v>
      </c>
      <c r="C9" s="2">
        <f t="shared" ref="C9:O9" si="19">C3/C8</f>
        <v>1.1306599757911311</v>
      </c>
      <c r="D9" s="2">
        <f t="shared" si="19"/>
        <v>2.290157294982984</v>
      </c>
      <c r="E9" s="2">
        <f t="shared" si="19"/>
        <v>2.8146140965938371</v>
      </c>
      <c r="F9" s="2">
        <f t="shared" si="19"/>
        <v>4.0382339789171988</v>
      </c>
      <c r="G9" s="2">
        <f t="shared" si="19"/>
        <v>2.3114403753842838</v>
      </c>
      <c r="H9" s="2">
        <f t="shared" si="19"/>
        <v>2.2300017418568192</v>
      </c>
      <c r="I9" s="2">
        <f t="shared" si="19"/>
        <v>1.8411976771840812</v>
      </c>
      <c r="J9" s="2">
        <f t="shared" si="19"/>
        <v>1.8195657220379862</v>
      </c>
      <c r="K9" s="2">
        <f t="shared" si="19"/>
        <v>1.428682356550848</v>
      </c>
      <c r="L9" s="2">
        <f t="shared" si="19"/>
        <v>1.0671486227289679</v>
      </c>
      <c r="M9" s="2">
        <f t="shared" si="19"/>
        <v>1.1885696649627047</v>
      </c>
      <c r="N9" s="2">
        <f t="shared" si="19"/>
        <v>0.84427797946023408</v>
      </c>
      <c r="O9" s="2">
        <f t="shared" si="19"/>
        <v>0.86381891261095811</v>
      </c>
      <c r="P9" s="2">
        <f t="shared" ref="P9:Q9" si="20">P3/P8</f>
        <v>1.0705686393626976</v>
      </c>
      <c r="Q9" s="2">
        <f t="shared" si="20"/>
        <v>1.2070624077966909</v>
      </c>
      <c r="R9" s="2">
        <f t="shared" ref="R9:S9" si="21">R3/R8</f>
        <v>1.3551820335268014</v>
      </c>
      <c r="S9" s="2">
        <f t="shared" si="21"/>
        <v>1.3609822078556955</v>
      </c>
      <c r="T9" s="2">
        <f t="shared" ref="T9:U9" si="22">T3/T8</f>
        <v>3.7188449441580755</v>
      </c>
      <c r="U9" s="2">
        <f t="shared" si="22"/>
        <v>2.1253238659274194</v>
      </c>
      <c r="V9" s="2">
        <f t="shared" ref="V9" si="23">V3/V8</f>
        <v>2.1234157776872964</v>
      </c>
    </row>
    <row r="10" spans="1:22" x14ac:dyDescent="0.45">
      <c r="A10" s="5" t="s">
        <v>44</v>
      </c>
      <c r="B10">
        <v>8</v>
      </c>
      <c r="C10">
        <v>9</v>
      </c>
      <c r="D10">
        <v>15</v>
      </c>
      <c r="E10">
        <v>20</v>
      </c>
      <c r="F10">
        <v>40</v>
      </c>
      <c r="G10">
        <v>50</v>
      </c>
      <c r="H10">
        <v>53</v>
      </c>
      <c r="I10">
        <v>50</v>
      </c>
      <c r="J10">
        <v>45</v>
      </c>
      <c r="K10">
        <v>40</v>
      </c>
      <c r="L10">
        <v>40</v>
      </c>
      <c r="M10">
        <v>40</v>
      </c>
      <c r="N10">
        <v>40</v>
      </c>
      <c r="O10">
        <v>33</v>
      </c>
      <c r="P10">
        <v>33</v>
      </c>
      <c r="Q10">
        <v>24</v>
      </c>
      <c r="R10">
        <v>34</v>
      </c>
      <c r="S10">
        <v>52</v>
      </c>
      <c r="T10">
        <v>48</v>
      </c>
      <c r="U10">
        <v>145</v>
      </c>
      <c r="V10">
        <v>52</v>
      </c>
    </row>
    <row r="11" spans="1:22" x14ac:dyDescent="0.45">
      <c r="A11" s="5" t="s">
        <v>49</v>
      </c>
      <c r="B11" s="11">
        <v>0.09</v>
      </c>
      <c r="C11" s="11">
        <f>B11</f>
        <v>0.09</v>
      </c>
      <c r="D11" s="11">
        <f t="shared" ref="D11:J11" si="24">C11</f>
        <v>0.09</v>
      </c>
      <c r="E11" s="11">
        <f t="shared" si="24"/>
        <v>0.09</v>
      </c>
      <c r="F11" s="11">
        <f t="shared" si="24"/>
        <v>0.09</v>
      </c>
      <c r="G11" s="11">
        <f t="shared" si="24"/>
        <v>0.09</v>
      </c>
      <c r="H11" s="11">
        <f t="shared" si="24"/>
        <v>0.09</v>
      </c>
      <c r="I11" s="11">
        <f t="shared" si="24"/>
        <v>0.09</v>
      </c>
      <c r="J11" s="11">
        <f t="shared" si="24"/>
        <v>0.09</v>
      </c>
      <c r="K11" s="11">
        <f t="shared" ref="K11" si="25">J11</f>
        <v>0.09</v>
      </c>
      <c r="L11" s="11">
        <f t="shared" ref="L11" si="26">K11</f>
        <v>0.09</v>
      </c>
      <c r="M11" s="11">
        <f t="shared" ref="M11" si="27">L11</f>
        <v>0.09</v>
      </c>
      <c r="N11" s="11">
        <f t="shared" ref="N11" si="28">M11</f>
        <v>0.09</v>
      </c>
      <c r="O11" s="11">
        <f t="shared" ref="O11" si="29">N11</f>
        <v>0.09</v>
      </c>
      <c r="P11" s="11">
        <f t="shared" ref="P11" si="30">O11</f>
        <v>0.09</v>
      </c>
      <c r="Q11" s="11">
        <f t="shared" ref="Q11" si="31">P11</f>
        <v>0.09</v>
      </c>
      <c r="R11" s="11">
        <f t="shared" ref="R11" si="32">Q11</f>
        <v>0.09</v>
      </c>
      <c r="S11" s="11">
        <f t="shared" ref="S11" si="33">R11</f>
        <v>0.09</v>
      </c>
      <c r="T11" s="11">
        <f t="shared" ref="T11" si="34">S11</f>
        <v>0.09</v>
      </c>
      <c r="U11" s="11">
        <f t="shared" ref="U11" si="35">T11</f>
        <v>0.09</v>
      </c>
      <c r="V11" s="11">
        <f t="shared" ref="V11" si="36">U11</f>
        <v>0.09</v>
      </c>
    </row>
    <row r="12" spans="1:22" x14ac:dyDescent="0.45">
      <c r="A12" s="5" t="s">
        <v>50</v>
      </c>
      <c r="B12" s="11">
        <v>0.02</v>
      </c>
      <c r="C12" s="11">
        <f>B12</f>
        <v>0.02</v>
      </c>
      <c r="D12" s="11">
        <f t="shared" ref="D12:V12" si="37">C12</f>
        <v>0.02</v>
      </c>
      <c r="E12" s="11">
        <f t="shared" si="37"/>
        <v>0.02</v>
      </c>
      <c r="F12" s="11">
        <f t="shared" si="37"/>
        <v>0.02</v>
      </c>
      <c r="G12" s="11">
        <f t="shared" si="37"/>
        <v>0.02</v>
      </c>
      <c r="H12" s="11">
        <f t="shared" si="37"/>
        <v>0.02</v>
      </c>
      <c r="I12" s="11">
        <f t="shared" si="37"/>
        <v>0.02</v>
      </c>
      <c r="J12" s="11">
        <f t="shared" si="37"/>
        <v>0.02</v>
      </c>
      <c r="K12" s="11">
        <f t="shared" si="37"/>
        <v>0.02</v>
      </c>
      <c r="L12" s="11">
        <f t="shared" si="37"/>
        <v>0.02</v>
      </c>
      <c r="M12" s="11">
        <f t="shared" si="37"/>
        <v>0.02</v>
      </c>
      <c r="N12" s="11">
        <f t="shared" si="37"/>
        <v>0.02</v>
      </c>
      <c r="O12" s="11">
        <f t="shared" si="37"/>
        <v>0.02</v>
      </c>
      <c r="P12" s="11">
        <f t="shared" si="37"/>
        <v>0.02</v>
      </c>
      <c r="Q12" s="11">
        <f t="shared" si="37"/>
        <v>0.02</v>
      </c>
      <c r="R12" s="11">
        <f t="shared" si="37"/>
        <v>0.02</v>
      </c>
      <c r="S12" s="11">
        <f t="shared" si="37"/>
        <v>0.02</v>
      </c>
      <c r="T12" s="11">
        <f t="shared" si="37"/>
        <v>0.02</v>
      </c>
      <c r="U12" s="11">
        <f t="shared" si="37"/>
        <v>0.02</v>
      </c>
      <c r="V12" s="11">
        <f t="shared" si="37"/>
        <v>0.02</v>
      </c>
    </row>
    <row r="13" spans="1:22" x14ac:dyDescent="0.45">
      <c r="A13" s="5" t="s">
        <v>4</v>
      </c>
      <c r="B13">
        <f t="shared" ref="B13:V13" si="38">B10/(B11-B12)</f>
        <v>114.28571428571429</v>
      </c>
      <c r="C13">
        <f t="shared" si="38"/>
        <v>128.57142857142858</v>
      </c>
      <c r="D13">
        <f t="shared" si="38"/>
        <v>214.28571428571431</v>
      </c>
      <c r="E13">
        <f t="shared" si="38"/>
        <v>285.71428571428572</v>
      </c>
      <c r="F13">
        <f t="shared" si="38"/>
        <v>571.42857142857144</v>
      </c>
      <c r="G13">
        <f t="shared" si="38"/>
        <v>714.28571428571433</v>
      </c>
      <c r="H13">
        <f t="shared" si="38"/>
        <v>757.14285714285722</v>
      </c>
      <c r="I13">
        <f t="shared" si="38"/>
        <v>714.28571428571433</v>
      </c>
      <c r="J13">
        <f t="shared" si="38"/>
        <v>642.85714285714289</v>
      </c>
      <c r="K13">
        <f t="shared" si="38"/>
        <v>571.42857142857144</v>
      </c>
      <c r="L13">
        <f t="shared" si="38"/>
        <v>571.42857142857144</v>
      </c>
      <c r="M13">
        <f t="shared" si="38"/>
        <v>571.42857142857144</v>
      </c>
      <c r="N13">
        <f t="shared" si="38"/>
        <v>571.42857142857144</v>
      </c>
      <c r="O13">
        <f t="shared" si="38"/>
        <v>471.4285714285715</v>
      </c>
      <c r="P13">
        <f t="shared" si="38"/>
        <v>471.4285714285715</v>
      </c>
      <c r="Q13">
        <f t="shared" si="38"/>
        <v>342.85714285714289</v>
      </c>
      <c r="R13">
        <f t="shared" si="38"/>
        <v>485.71428571428578</v>
      </c>
      <c r="S13">
        <f t="shared" si="38"/>
        <v>742.85714285714289</v>
      </c>
      <c r="T13">
        <f t="shared" si="38"/>
        <v>685.71428571428578</v>
      </c>
      <c r="U13">
        <f t="shared" si="38"/>
        <v>2071.4285714285716</v>
      </c>
      <c r="V13">
        <f t="shared" si="38"/>
        <v>742.85714285714289</v>
      </c>
    </row>
  </sheetData>
  <phoneticPr fontId="2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90E01-4A15-48BE-B842-088670C7D745}">
  <dimension ref="A1:V17"/>
  <sheetViews>
    <sheetView zoomScale="95" workbookViewId="0">
      <selection activeCell="V15" sqref="V15"/>
    </sheetView>
  </sheetViews>
  <sheetFormatPr defaultRowHeight="14.25" x14ac:dyDescent="0.45"/>
  <cols>
    <col min="1" max="1" width="36.19921875" customWidth="1"/>
    <col min="2" max="22" width="16.3984375" customWidth="1"/>
  </cols>
  <sheetData>
    <row r="1" spans="1:22" ht="35.65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0</v>
      </c>
    </row>
    <row r="3" spans="1:22" x14ac:dyDescent="0.45">
      <c r="A3" s="5" t="s">
        <v>38</v>
      </c>
      <c r="B3">
        <v>3233</v>
      </c>
      <c r="C3">
        <v>1203</v>
      </c>
      <c r="D3">
        <v>1399</v>
      </c>
      <c r="E3">
        <v>1638</v>
      </c>
      <c r="F3">
        <v>1283</v>
      </c>
      <c r="G3">
        <v>421</v>
      </c>
      <c r="H3">
        <v>696.5</v>
      </c>
      <c r="I3">
        <v>898.4</v>
      </c>
      <c r="J3">
        <v>359</v>
      </c>
      <c r="K3">
        <v>632</v>
      </c>
      <c r="L3">
        <v>696</v>
      </c>
      <c r="M3">
        <v>549.79999999999995</v>
      </c>
      <c r="N3">
        <v>758.7</v>
      </c>
      <c r="O3">
        <v>764.1</v>
      </c>
      <c r="P3">
        <v>917.4</v>
      </c>
      <c r="Q3">
        <v>736.8</v>
      </c>
      <c r="R3">
        <v>861</v>
      </c>
      <c r="S3">
        <v>660</v>
      </c>
      <c r="T3">
        <v>1026</v>
      </c>
      <c r="U3">
        <v>723.2</v>
      </c>
      <c r="V3">
        <v>906</v>
      </c>
    </row>
    <row r="4" spans="1:22" x14ac:dyDescent="0.45">
      <c r="A4" s="5" t="s">
        <v>1</v>
      </c>
      <c r="B4" s="1">
        <v>239775232</v>
      </c>
      <c r="C4" s="1">
        <v>241442892</v>
      </c>
      <c r="D4" s="1">
        <v>243183600</v>
      </c>
      <c r="E4" s="1">
        <v>315296185</v>
      </c>
      <c r="F4" s="1">
        <v>316288945</v>
      </c>
      <c r="G4" s="1">
        <v>317012763</v>
      </c>
      <c r="H4" s="1">
        <v>377925086</v>
      </c>
      <c r="I4" s="1">
        <v>378176721</v>
      </c>
      <c r="J4" s="1">
        <v>390767262</v>
      </c>
      <c r="K4" s="1">
        <v>394568647</v>
      </c>
      <c r="L4" s="1">
        <v>429800000</v>
      </c>
      <c r="M4" s="1">
        <v>429800000</v>
      </c>
      <c r="N4" s="1">
        <v>429800000</v>
      </c>
      <c r="O4" s="1">
        <v>429800000</v>
      </c>
      <c r="P4" s="1">
        <v>429800000</v>
      </c>
      <c r="Q4" s="1">
        <v>429800000</v>
      </c>
      <c r="R4" s="1">
        <v>429800000</v>
      </c>
      <c r="S4" s="1">
        <v>429800000</v>
      </c>
      <c r="T4" s="1">
        <v>429800000</v>
      </c>
      <c r="U4" s="1">
        <v>429800000</v>
      </c>
      <c r="V4" s="1">
        <v>421662859</v>
      </c>
    </row>
    <row r="5" spans="1:22" x14ac:dyDescent="0.45">
      <c r="A5" s="5" t="s">
        <v>37</v>
      </c>
      <c r="B5">
        <v>5.94</v>
      </c>
      <c r="C5">
        <v>2.2799999999999998</v>
      </c>
      <c r="D5">
        <v>2.98</v>
      </c>
      <c r="E5">
        <v>3.1</v>
      </c>
      <c r="F5">
        <v>3.76</v>
      </c>
      <c r="G5">
        <v>2.74</v>
      </c>
      <c r="H5">
        <v>2.37</v>
      </c>
      <c r="I5">
        <v>1.97</v>
      </c>
      <c r="J5">
        <v>2.2799999999999998</v>
      </c>
      <c r="K5">
        <v>0.87</v>
      </c>
      <c r="L5">
        <v>-0.06</v>
      </c>
      <c r="M5">
        <v>-3.37</v>
      </c>
      <c r="N5">
        <v>2.27</v>
      </c>
      <c r="O5">
        <v>2.93</v>
      </c>
      <c r="P5">
        <v>2.94</v>
      </c>
      <c r="Q5">
        <v>4.0199999999999996</v>
      </c>
      <c r="R5">
        <v>3.23</v>
      </c>
      <c r="S5">
        <v>1.57</v>
      </c>
      <c r="T5">
        <v>4.17</v>
      </c>
      <c r="U5">
        <v>4.83</v>
      </c>
      <c r="V5">
        <v>6.8</v>
      </c>
    </row>
    <row r="6" spans="1:22" x14ac:dyDescent="0.45">
      <c r="A6" s="6" t="s">
        <v>2</v>
      </c>
      <c r="B6" s="2">
        <f>B3/(B5*B11)</f>
        <v>16.814213601362198</v>
      </c>
      <c r="C6" s="2">
        <f t="shared" ref="C6:V6" si="0">C3/(C5*C11)</f>
        <v>17.376307556310504</v>
      </c>
      <c r="D6" s="2">
        <f t="shared" si="0"/>
        <v>16.163301334078916</v>
      </c>
      <c r="E6" s="2">
        <f t="shared" si="0"/>
        <v>19.193138277304524</v>
      </c>
      <c r="F6" s="2">
        <f t="shared" si="0"/>
        <v>12.94474219481484</v>
      </c>
      <c r="G6" s="2">
        <f t="shared" si="0"/>
        <v>5.7267847572305755</v>
      </c>
      <c r="H6" s="2">
        <f t="shared" si="0"/>
        <v>11.174215077569748</v>
      </c>
      <c r="I6" s="2">
        <f t="shared" si="0"/>
        <v>18.179813001277889</v>
      </c>
      <c r="J6" s="2">
        <f t="shared" si="0"/>
        <v>6.1723300803950298</v>
      </c>
      <c r="K6" s="2">
        <f t="shared" si="0"/>
        <v>28.798286684209927</v>
      </c>
      <c r="L6" s="9" t="str">
        <f>IF(L3/(L5*L11)&lt;0,"N/A")</f>
        <v>N/A</v>
      </c>
      <c r="M6" s="9" t="str">
        <f>IF(M3/(M5*M11)&lt;0,"N/A")</f>
        <v>N/A</v>
      </c>
      <c r="N6" s="2">
        <f t="shared" si="0"/>
        <v>12.369691890816723</v>
      </c>
      <c r="O6" s="2">
        <f t="shared" si="0"/>
        <v>9.6515537725815541</v>
      </c>
      <c r="P6" s="2">
        <f t="shared" si="0"/>
        <v>12.239294619593275</v>
      </c>
      <c r="Q6" s="2">
        <f t="shared" si="0"/>
        <v>7.1178090131864948</v>
      </c>
      <c r="R6" s="2">
        <f t="shared" si="0"/>
        <v>10.490494588439988</v>
      </c>
      <c r="S6" s="2">
        <f t="shared" si="0"/>
        <v>16.081949717103885</v>
      </c>
      <c r="T6" s="2">
        <f t="shared" si="0"/>
        <v>9.9131009455127277</v>
      </c>
      <c r="U6" s="2">
        <f t="shared" si="0"/>
        <v>6.1936235309734702</v>
      </c>
      <c r="V6" s="2">
        <f t="shared" si="0"/>
        <v>5.3974192472208662</v>
      </c>
    </row>
    <row r="7" spans="1:22" x14ac:dyDescent="0.45">
      <c r="A7" s="5" t="s">
        <v>6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45">
      <c r="A8" s="5" t="s">
        <v>39</v>
      </c>
      <c r="B8">
        <v>46.56</v>
      </c>
      <c r="C8">
        <v>14.3</v>
      </c>
      <c r="D8">
        <v>17.100000000000001</v>
      </c>
      <c r="E8">
        <v>25.6</v>
      </c>
      <c r="F8">
        <v>27</v>
      </c>
      <c r="G8">
        <v>25.8</v>
      </c>
      <c r="H8">
        <v>28.9</v>
      </c>
      <c r="I8">
        <v>29.9</v>
      </c>
      <c r="J8">
        <v>26.1</v>
      </c>
      <c r="K8">
        <v>27.9</v>
      </c>
      <c r="L8">
        <v>26.3</v>
      </c>
      <c r="M8">
        <v>22.9</v>
      </c>
      <c r="N8">
        <v>25.6</v>
      </c>
      <c r="O8">
        <v>27.8</v>
      </c>
      <c r="P8">
        <v>30</v>
      </c>
      <c r="Q8">
        <v>31.1</v>
      </c>
      <c r="R8">
        <v>32.9</v>
      </c>
      <c r="S8">
        <v>34</v>
      </c>
      <c r="T8">
        <v>36.700000000000003</v>
      </c>
      <c r="U8">
        <v>39.799999999999997</v>
      </c>
      <c r="V8">
        <v>45.6</v>
      </c>
    </row>
    <row r="9" spans="1:22" x14ac:dyDescent="0.45">
      <c r="A9" s="6" t="s">
        <v>3</v>
      </c>
      <c r="B9" s="2">
        <f>B3/(B8*B11)</f>
        <v>2.1451123022356411</v>
      </c>
      <c r="C9" s="2">
        <f t="shared" ref="C9:V9" si="1">C3/(C8*C11)</f>
        <v>2.7704881977893669</v>
      </c>
      <c r="D9" s="2">
        <f t="shared" si="1"/>
        <v>2.8167624547108283</v>
      </c>
      <c r="E9" s="2">
        <f t="shared" si="1"/>
        <v>2.3241690882673445</v>
      </c>
      <c r="F9" s="2">
        <f t="shared" si="1"/>
        <v>1.8026752093519922</v>
      </c>
      <c r="G9" s="2">
        <f t="shared" si="1"/>
        <v>0.60819341995394494</v>
      </c>
      <c r="H9" s="2">
        <f t="shared" si="1"/>
        <v>0.91636296656886873</v>
      </c>
      <c r="I9" s="2">
        <f t="shared" si="1"/>
        <v>1.1978003883785096</v>
      </c>
      <c r="J9" s="2">
        <f t="shared" si="1"/>
        <v>0.53919205300002548</v>
      </c>
      <c r="K9" s="2">
        <f t="shared" si="1"/>
        <v>0.89801109015278258</v>
      </c>
      <c r="L9" s="2">
        <f t="shared" si="1"/>
        <v>0.96302322878443214</v>
      </c>
      <c r="M9" s="2">
        <f t="shared" si="1"/>
        <v>0.86674128608137724</v>
      </c>
      <c r="N9" s="2">
        <f t="shared" si="1"/>
        <v>1.0968437731310141</v>
      </c>
      <c r="O9" s="2">
        <f t="shared" si="1"/>
        <v>1.0172321062469047</v>
      </c>
      <c r="P9" s="2">
        <f t="shared" si="1"/>
        <v>1.1994508727201412</v>
      </c>
      <c r="Q9" s="2">
        <f t="shared" si="1"/>
        <v>0.92005119720288442</v>
      </c>
      <c r="R9" s="2">
        <f t="shared" si="1"/>
        <v>1.0299178577708559</v>
      </c>
      <c r="S9" s="2">
        <f t="shared" si="1"/>
        <v>0.7426076781133264</v>
      </c>
      <c r="T9" s="2">
        <f t="shared" si="1"/>
        <v>1.1263659657435441</v>
      </c>
      <c r="U9" s="2">
        <f t="shared" si="1"/>
        <v>0.75163823252768502</v>
      </c>
      <c r="V9" s="2">
        <f t="shared" si="1"/>
        <v>0.80487830879609401</v>
      </c>
    </row>
    <row r="10" spans="1:22" x14ac:dyDescent="0.45">
      <c r="A10" s="5" t="s">
        <v>45</v>
      </c>
      <c r="B10">
        <v>1.5</v>
      </c>
      <c r="C10">
        <v>0.5</v>
      </c>
      <c r="D10">
        <v>0.55000000000000004</v>
      </c>
      <c r="E10">
        <v>0.65</v>
      </c>
      <c r="F10">
        <v>0.75</v>
      </c>
      <c r="G10">
        <v>0.65</v>
      </c>
      <c r="H10">
        <v>0.65</v>
      </c>
      <c r="I10">
        <v>0.7</v>
      </c>
      <c r="J10" s="13">
        <f>I10+I10*J14</f>
        <v>0.71399999999999997</v>
      </c>
      <c r="K10">
        <v>0.4</v>
      </c>
      <c r="L10">
        <v>0.2</v>
      </c>
      <c r="M10" s="13">
        <f>L10+L10*M14</f>
        <v>0.20400000000000001</v>
      </c>
      <c r="N10">
        <v>0.5</v>
      </c>
      <c r="O10">
        <v>1</v>
      </c>
      <c r="P10">
        <v>1.2</v>
      </c>
      <c r="Q10">
        <v>1.4</v>
      </c>
      <c r="R10" s="13">
        <f>Q10+Q10*R14</f>
        <v>1.4279999999999999</v>
      </c>
      <c r="S10">
        <v>1.5</v>
      </c>
      <c r="T10">
        <v>1.6</v>
      </c>
      <c r="U10">
        <v>1.9</v>
      </c>
      <c r="V10">
        <v>2.7</v>
      </c>
    </row>
    <row r="11" spans="1:22" x14ac:dyDescent="0.45">
      <c r="A11" s="5" t="s">
        <v>36</v>
      </c>
      <c r="B11">
        <v>32.369999999999997</v>
      </c>
      <c r="C11">
        <v>30.364999999999998</v>
      </c>
      <c r="D11">
        <v>29.045000000000002</v>
      </c>
      <c r="E11">
        <v>27.53</v>
      </c>
      <c r="F11">
        <v>26.36</v>
      </c>
      <c r="G11">
        <v>26.83</v>
      </c>
      <c r="H11">
        <v>26.3</v>
      </c>
      <c r="I11">
        <v>25.085000000000001</v>
      </c>
      <c r="J11">
        <v>25.51</v>
      </c>
      <c r="K11">
        <v>25.225000000000001</v>
      </c>
      <c r="L11">
        <v>27.48</v>
      </c>
      <c r="M11">
        <v>27.7</v>
      </c>
      <c r="N11">
        <v>27.02</v>
      </c>
      <c r="O11">
        <v>27.02</v>
      </c>
      <c r="P11">
        <v>25.495000000000001</v>
      </c>
      <c r="Q11">
        <v>25.75</v>
      </c>
      <c r="R11">
        <v>25.41</v>
      </c>
      <c r="S11">
        <v>26.14</v>
      </c>
      <c r="T11">
        <v>24.82</v>
      </c>
      <c r="U11">
        <v>24.175000000000001</v>
      </c>
      <c r="V11">
        <v>24.684999999999999</v>
      </c>
    </row>
    <row r="12" spans="1:22" x14ac:dyDescent="0.45">
      <c r="A12" s="5" t="s">
        <v>46</v>
      </c>
      <c r="B12">
        <f>B10*B11</f>
        <v>48.554999999999993</v>
      </c>
      <c r="C12">
        <f t="shared" ref="C12:V12" si="2">C10*C11</f>
        <v>15.182499999999999</v>
      </c>
      <c r="D12">
        <f t="shared" si="2"/>
        <v>15.974750000000002</v>
      </c>
      <c r="E12">
        <f t="shared" si="2"/>
        <v>17.894500000000001</v>
      </c>
      <c r="F12">
        <f t="shared" si="2"/>
        <v>19.77</v>
      </c>
      <c r="G12">
        <f t="shared" si="2"/>
        <v>17.439499999999999</v>
      </c>
      <c r="H12">
        <f t="shared" si="2"/>
        <v>17.095000000000002</v>
      </c>
      <c r="I12">
        <f t="shared" si="2"/>
        <v>17.5595</v>
      </c>
      <c r="J12">
        <f t="shared" si="2"/>
        <v>18.21414</v>
      </c>
      <c r="K12">
        <f t="shared" si="2"/>
        <v>10.090000000000002</v>
      </c>
      <c r="L12">
        <f t="shared" si="2"/>
        <v>5.4960000000000004</v>
      </c>
      <c r="M12">
        <f t="shared" si="2"/>
        <v>5.6508000000000003</v>
      </c>
      <c r="N12">
        <f t="shared" si="2"/>
        <v>13.51</v>
      </c>
      <c r="O12">
        <f t="shared" si="2"/>
        <v>27.02</v>
      </c>
      <c r="P12">
        <f t="shared" si="2"/>
        <v>30.594000000000001</v>
      </c>
      <c r="Q12">
        <f t="shared" si="2"/>
        <v>36.049999999999997</v>
      </c>
      <c r="R12">
        <f t="shared" si="2"/>
        <v>36.28548</v>
      </c>
      <c r="S12">
        <f t="shared" si="2"/>
        <v>39.21</v>
      </c>
      <c r="T12">
        <f t="shared" si="2"/>
        <v>39.712000000000003</v>
      </c>
      <c r="U12">
        <f t="shared" si="2"/>
        <v>45.932499999999997</v>
      </c>
      <c r="V12">
        <f t="shared" si="2"/>
        <v>66.649500000000003</v>
      </c>
    </row>
    <row r="13" spans="1:22" x14ac:dyDescent="0.45">
      <c r="A13" s="5" t="s">
        <v>32</v>
      </c>
      <c r="B13" s="11">
        <v>0.09</v>
      </c>
      <c r="C13" s="11">
        <f>B13</f>
        <v>0.09</v>
      </c>
      <c r="D13" s="11">
        <f t="shared" ref="D13:T14" si="3">C13</f>
        <v>0.09</v>
      </c>
      <c r="E13" s="11">
        <f t="shared" si="3"/>
        <v>0.09</v>
      </c>
      <c r="F13" s="11">
        <f t="shared" si="3"/>
        <v>0.09</v>
      </c>
      <c r="G13" s="11">
        <f t="shared" si="3"/>
        <v>0.09</v>
      </c>
      <c r="H13" s="11">
        <f t="shared" si="3"/>
        <v>0.09</v>
      </c>
      <c r="I13" s="11">
        <f t="shared" si="3"/>
        <v>0.09</v>
      </c>
      <c r="J13" s="11">
        <f t="shared" si="3"/>
        <v>0.09</v>
      </c>
      <c r="K13" s="11">
        <f t="shared" ref="K13" si="4">J13</f>
        <v>0.09</v>
      </c>
      <c r="L13" s="11">
        <f t="shared" ref="L13" si="5">K13</f>
        <v>0.09</v>
      </c>
      <c r="M13" s="11">
        <f t="shared" ref="M13" si="6">L13</f>
        <v>0.09</v>
      </c>
      <c r="N13" s="11">
        <f t="shared" ref="N13" si="7">M13</f>
        <v>0.09</v>
      </c>
      <c r="O13" s="11">
        <f t="shared" ref="O13" si="8">N13</f>
        <v>0.09</v>
      </c>
      <c r="P13" s="11">
        <f t="shared" ref="P13" si="9">O13</f>
        <v>0.09</v>
      </c>
      <c r="Q13" s="11">
        <f t="shared" ref="Q13" si="10">P13</f>
        <v>0.09</v>
      </c>
      <c r="R13" s="11">
        <f t="shared" ref="R13" si="11">Q13</f>
        <v>0.09</v>
      </c>
      <c r="S13" s="11">
        <f t="shared" ref="S13" si="12">R13</f>
        <v>0.09</v>
      </c>
      <c r="T13" s="11">
        <f t="shared" ref="T13" si="13">S13</f>
        <v>0.09</v>
      </c>
      <c r="U13" s="11">
        <f t="shared" ref="U13" si="14">T13</f>
        <v>0.09</v>
      </c>
      <c r="V13" s="11">
        <f t="shared" ref="V13" si="15">U13</f>
        <v>0.09</v>
      </c>
    </row>
    <row r="14" spans="1:22" x14ac:dyDescent="0.45">
      <c r="A14" s="5" t="s">
        <v>33</v>
      </c>
      <c r="B14" s="11">
        <v>0.02</v>
      </c>
      <c r="C14" s="11">
        <f>B14</f>
        <v>0.02</v>
      </c>
      <c r="D14" s="11">
        <f t="shared" si="3"/>
        <v>0.02</v>
      </c>
      <c r="E14" s="11">
        <f t="shared" si="3"/>
        <v>0.02</v>
      </c>
      <c r="F14" s="11">
        <f t="shared" si="3"/>
        <v>0.02</v>
      </c>
      <c r="G14" s="11">
        <f t="shared" si="3"/>
        <v>0.02</v>
      </c>
      <c r="H14" s="11">
        <f t="shared" si="3"/>
        <v>0.02</v>
      </c>
      <c r="I14" s="11">
        <f t="shared" si="3"/>
        <v>0.02</v>
      </c>
      <c r="J14" s="11">
        <f t="shared" si="3"/>
        <v>0.02</v>
      </c>
      <c r="K14" s="11">
        <f t="shared" si="3"/>
        <v>0.02</v>
      </c>
      <c r="L14" s="11">
        <f t="shared" si="3"/>
        <v>0.02</v>
      </c>
      <c r="M14" s="11">
        <f t="shared" si="3"/>
        <v>0.02</v>
      </c>
      <c r="N14" s="11">
        <f t="shared" si="3"/>
        <v>0.02</v>
      </c>
      <c r="O14" s="11">
        <f t="shared" si="3"/>
        <v>0.02</v>
      </c>
      <c r="P14" s="11">
        <f t="shared" si="3"/>
        <v>0.02</v>
      </c>
      <c r="Q14" s="11">
        <f t="shared" si="3"/>
        <v>0.02</v>
      </c>
      <c r="R14" s="11">
        <f t="shared" si="3"/>
        <v>0.02</v>
      </c>
      <c r="S14" s="11">
        <f t="shared" si="3"/>
        <v>0.02</v>
      </c>
      <c r="T14" s="11">
        <f t="shared" si="3"/>
        <v>0.02</v>
      </c>
      <c r="U14" s="11">
        <f t="shared" ref="U14:V14" si="16">T14</f>
        <v>0.02</v>
      </c>
      <c r="V14" s="11">
        <f t="shared" si="16"/>
        <v>0.02</v>
      </c>
    </row>
    <row r="15" spans="1:22" x14ac:dyDescent="0.45">
      <c r="A15" s="5" t="s">
        <v>4</v>
      </c>
      <c r="B15">
        <f>B12/(B13-B14)</f>
        <v>693.64285714285711</v>
      </c>
      <c r="C15">
        <f t="shared" ref="C15:S15" si="17">C12/(C13-C14)</f>
        <v>216.89285714285717</v>
      </c>
      <c r="D15">
        <f t="shared" si="17"/>
        <v>228.21071428571435</v>
      </c>
      <c r="E15">
        <f t="shared" si="17"/>
        <v>255.63571428571433</v>
      </c>
      <c r="F15">
        <f t="shared" si="17"/>
        <v>282.42857142857144</v>
      </c>
      <c r="G15">
        <f t="shared" si="17"/>
        <v>249.1357142857143</v>
      </c>
      <c r="H15">
        <f t="shared" si="17"/>
        <v>244.21428571428578</v>
      </c>
      <c r="I15">
        <f t="shared" si="17"/>
        <v>250.85000000000002</v>
      </c>
      <c r="J15">
        <f t="shared" si="17"/>
        <v>260.20200000000006</v>
      </c>
      <c r="K15">
        <f t="shared" si="17"/>
        <v>144.14285714285717</v>
      </c>
      <c r="L15">
        <f t="shared" si="17"/>
        <v>78.514285714285734</v>
      </c>
      <c r="M15">
        <f t="shared" si="17"/>
        <v>80.725714285714304</v>
      </c>
      <c r="N15">
        <f t="shared" si="17"/>
        <v>193.00000000000003</v>
      </c>
      <c r="O15">
        <f t="shared" si="17"/>
        <v>386.00000000000006</v>
      </c>
      <c r="P15">
        <f t="shared" si="17"/>
        <v>437.05714285714294</v>
      </c>
      <c r="Q15">
        <f t="shared" si="17"/>
        <v>515</v>
      </c>
      <c r="R15">
        <f t="shared" si="17"/>
        <v>518.36400000000003</v>
      </c>
      <c r="S15">
        <f t="shared" si="17"/>
        <v>560.14285714285722</v>
      </c>
      <c r="T15">
        <f t="shared" ref="T15" si="18">T12/(T13-T14)</f>
        <v>567.3142857142858</v>
      </c>
      <c r="U15">
        <f t="shared" ref="U15" si="19">U12/(U13-U14)</f>
        <v>656.17857142857144</v>
      </c>
      <c r="V15">
        <f t="shared" ref="V15" si="20">V12/(V13-V14)</f>
        <v>952.13571428571447</v>
      </c>
    </row>
    <row r="17" spans="1:1" x14ac:dyDescent="0.45">
      <c r="A17" t="s">
        <v>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75E5-22AE-4841-89CF-D3862FE91A92}">
  <dimension ref="A1:V15"/>
  <sheetViews>
    <sheetView zoomScale="101" workbookViewId="0">
      <selection activeCell="V2" sqref="V2"/>
    </sheetView>
  </sheetViews>
  <sheetFormatPr defaultRowHeight="14.25" x14ac:dyDescent="0.45"/>
  <cols>
    <col min="1" max="1" width="31.86328125" customWidth="1"/>
    <col min="2" max="22" width="14.06640625" customWidth="1"/>
  </cols>
  <sheetData>
    <row r="1" spans="1:22" ht="37.15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</row>
    <row r="2" spans="1:22" x14ac:dyDescent="0.45">
      <c r="A2" s="5" t="s">
        <v>30</v>
      </c>
      <c r="B2">
        <v>2440</v>
      </c>
      <c r="C2">
        <v>3329</v>
      </c>
      <c r="D2">
        <v>3456</v>
      </c>
      <c r="E2">
        <v>3119</v>
      </c>
      <c r="F2">
        <v>4354</v>
      </c>
      <c r="G2">
        <v>3054</v>
      </c>
      <c r="H2">
        <v>3915</v>
      </c>
      <c r="I2">
        <v>4439</v>
      </c>
      <c r="J2">
        <v>3385</v>
      </c>
      <c r="K2">
        <v>4130</v>
      </c>
      <c r="L2">
        <v>4440</v>
      </c>
      <c r="M2">
        <v>4845</v>
      </c>
      <c r="N2">
        <v>4880</v>
      </c>
      <c r="O2">
        <v>887.1</v>
      </c>
      <c r="P2">
        <v>925</v>
      </c>
      <c r="Q2">
        <v>855</v>
      </c>
      <c r="R2">
        <v>826</v>
      </c>
      <c r="S2">
        <v>658</v>
      </c>
      <c r="T2">
        <v>935</v>
      </c>
      <c r="U2">
        <v>659.5</v>
      </c>
      <c r="V2">
        <v>725.5</v>
      </c>
    </row>
    <row r="3" spans="1:22" x14ac:dyDescent="0.45">
      <c r="A3" s="5" t="s">
        <v>1</v>
      </c>
      <c r="B3" s="1">
        <v>38009852</v>
      </c>
      <c r="C3" s="1">
        <v>38009852</v>
      </c>
      <c r="D3" s="1">
        <v>38009852</v>
      </c>
      <c r="E3" s="1">
        <v>38009852</v>
      </c>
      <c r="F3" s="1">
        <v>38009852</v>
      </c>
      <c r="G3" s="1">
        <v>38009852</v>
      </c>
      <c r="H3" s="1">
        <v>38009852</v>
      </c>
      <c r="I3" s="1">
        <v>38009852</v>
      </c>
      <c r="J3" s="1">
        <v>38009852</v>
      </c>
      <c r="K3" s="1">
        <v>38009852</v>
      </c>
      <c r="L3" s="1">
        <v>38009852</v>
      </c>
      <c r="M3" s="1">
        <v>38009852</v>
      </c>
      <c r="N3" s="1">
        <v>38009852</v>
      </c>
      <c r="O3" s="1">
        <v>190049260</v>
      </c>
      <c r="P3" s="1">
        <v>190049260</v>
      </c>
      <c r="Q3" s="1">
        <v>190049260</v>
      </c>
      <c r="R3" s="1">
        <v>190049260</v>
      </c>
      <c r="S3" s="1">
        <v>190049260</v>
      </c>
      <c r="T3" s="1">
        <v>190049260</v>
      </c>
      <c r="U3" s="1">
        <v>190049260</v>
      </c>
      <c r="V3" s="1">
        <v>190049260</v>
      </c>
    </row>
    <row r="4" spans="1:22" x14ac:dyDescent="0.45">
      <c r="A4" s="5" t="s">
        <v>5</v>
      </c>
      <c r="B4">
        <v>228</v>
      </c>
      <c r="C4">
        <v>235.2</v>
      </c>
      <c r="D4">
        <v>234.4</v>
      </c>
      <c r="E4">
        <v>242.4</v>
      </c>
      <c r="F4">
        <v>294.39999999999998</v>
      </c>
      <c r="G4">
        <v>346.26</v>
      </c>
      <c r="H4">
        <v>289.58999999999997</v>
      </c>
      <c r="I4">
        <v>351.2</v>
      </c>
      <c r="J4">
        <v>250</v>
      </c>
      <c r="K4">
        <v>369.4</v>
      </c>
      <c r="L4">
        <v>331.7</v>
      </c>
      <c r="M4">
        <v>343.8</v>
      </c>
      <c r="N4">
        <v>337.8</v>
      </c>
      <c r="O4">
        <v>72.5</v>
      </c>
      <c r="P4">
        <v>79.099999999999994</v>
      </c>
      <c r="Q4">
        <v>78.599999999999994</v>
      </c>
      <c r="R4">
        <v>78.900000000000006</v>
      </c>
      <c r="S4">
        <v>43.2</v>
      </c>
      <c r="T4">
        <v>67.400000000000006</v>
      </c>
      <c r="U4">
        <v>93</v>
      </c>
      <c r="V4">
        <v>82.7</v>
      </c>
    </row>
    <row r="5" spans="1:22" x14ac:dyDescent="0.45">
      <c r="A5" s="6" t="s">
        <v>2</v>
      </c>
      <c r="B5" s="2">
        <f>B2/B4</f>
        <v>10.701754385964913</v>
      </c>
      <c r="C5" s="2">
        <f t="shared" ref="C5:R5" si="0">C2/C4</f>
        <v>14.153911564625851</v>
      </c>
      <c r="D5" s="2">
        <f t="shared" si="0"/>
        <v>14.744027303754265</v>
      </c>
      <c r="E5" s="2">
        <f t="shared" si="0"/>
        <v>12.867161716171617</v>
      </c>
      <c r="F5" s="2">
        <f t="shared" si="0"/>
        <v>14.789402173913045</v>
      </c>
      <c r="G5" s="2">
        <f t="shared" si="0"/>
        <v>8.8199618783573044</v>
      </c>
      <c r="H5" s="2">
        <f t="shared" si="0"/>
        <v>13.519113229047965</v>
      </c>
      <c r="I5" s="2">
        <f t="shared" si="0"/>
        <v>12.639521640091116</v>
      </c>
      <c r="J5" s="2">
        <f t="shared" si="0"/>
        <v>13.54</v>
      </c>
      <c r="K5" s="2">
        <f t="shared" si="0"/>
        <v>11.180292365998918</v>
      </c>
      <c r="L5" s="2">
        <f t="shared" si="0"/>
        <v>13.385589388001206</v>
      </c>
      <c r="M5" s="2">
        <f t="shared" si="0"/>
        <v>14.092495636998255</v>
      </c>
      <c r="N5" s="2">
        <f t="shared" si="0"/>
        <v>14.446417998815868</v>
      </c>
      <c r="O5" s="2">
        <f t="shared" si="0"/>
        <v>12.235862068965517</v>
      </c>
      <c r="P5" s="2">
        <f t="shared" si="0"/>
        <v>11.694058154235146</v>
      </c>
      <c r="Q5" s="2">
        <f t="shared" si="0"/>
        <v>10.877862595419849</v>
      </c>
      <c r="R5" s="2">
        <f t="shared" si="0"/>
        <v>10.468948035487958</v>
      </c>
      <c r="S5" s="2">
        <f t="shared" ref="S5:V5" si="1">S2/S4</f>
        <v>15.231481481481481</v>
      </c>
      <c r="T5" s="2">
        <f t="shared" si="1"/>
        <v>13.872403560830859</v>
      </c>
      <c r="U5" s="2">
        <f t="shared" si="1"/>
        <v>7.091397849462366</v>
      </c>
      <c r="V5" s="2">
        <f t="shared" si="1"/>
        <v>8.7726723095525987</v>
      </c>
    </row>
    <row r="6" spans="1:22" x14ac:dyDescent="0.45">
      <c r="A6" s="5" t="s">
        <v>6</v>
      </c>
    </row>
    <row r="7" spans="1:22" x14ac:dyDescent="0.45">
      <c r="A7" s="5" t="s">
        <v>7</v>
      </c>
      <c r="B7">
        <v>1089.2</v>
      </c>
      <c r="C7">
        <v>1179</v>
      </c>
      <c r="D7">
        <v>1350.3</v>
      </c>
      <c r="E7">
        <v>1307</v>
      </c>
      <c r="F7">
        <v>1304.8</v>
      </c>
      <c r="G7">
        <v>1628</v>
      </c>
      <c r="H7">
        <v>1778.8</v>
      </c>
      <c r="I7">
        <v>1970.2</v>
      </c>
      <c r="J7">
        <v>2089.1</v>
      </c>
      <c r="K7">
        <v>2588.5</v>
      </c>
      <c r="L7">
        <v>2479.6</v>
      </c>
      <c r="M7">
        <v>2816</v>
      </c>
      <c r="N7">
        <v>2711.4</v>
      </c>
      <c r="O7">
        <v>537.79999999999995</v>
      </c>
      <c r="P7">
        <v>511.2</v>
      </c>
      <c r="Q7">
        <v>529.1</v>
      </c>
      <c r="R7">
        <v>558.79999999999995</v>
      </c>
      <c r="S7">
        <v>602.70000000000005</v>
      </c>
      <c r="T7">
        <v>654</v>
      </c>
      <c r="U7">
        <v>636.5</v>
      </c>
      <c r="V7">
        <v>662.2</v>
      </c>
    </row>
    <row r="8" spans="1:22" x14ac:dyDescent="0.45">
      <c r="A8" s="6" t="s">
        <v>3</v>
      </c>
      <c r="B8" s="2">
        <f>B2/B7</f>
        <v>2.2401762761659931</v>
      </c>
      <c r="C8" s="2">
        <f t="shared" ref="C8:V8" si="2">C2/C7</f>
        <v>2.8235793044953352</v>
      </c>
      <c r="D8" s="2">
        <f t="shared" si="2"/>
        <v>2.5594312375027775</v>
      </c>
      <c r="E8" s="2">
        <f t="shared" si="2"/>
        <v>2.386381025248661</v>
      </c>
      <c r="F8" s="2">
        <f t="shared" si="2"/>
        <v>3.3369098712446355</v>
      </c>
      <c r="G8" s="2">
        <f t="shared" si="2"/>
        <v>1.875921375921376</v>
      </c>
      <c r="H8" s="2">
        <f t="shared" si="2"/>
        <v>2.2009219698673261</v>
      </c>
      <c r="I8" s="2">
        <f t="shared" si="2"/>
        <v>2.2530707542381485</v>
      </c>
      <c r="J8" s="2">
        <f t="shared" si="2"/>
        <v>1.6203149681681108</v>
      </c>
      <c r="K8" s="2">
        <f t="shared" si="2"/>
        <v>1.5955186401390766</v>
      </c>
      <c r="L8" s="2">
        <f t="shared" si="2"/>
        <v>1.790611388933699</v>
      </c>
      <c r="M8" s="2">
        <f t="shared" si="2"/>
        <v>1.7205255681818181</v>
      </c>
      <c r="N8" s="2">
        <f t="shared" si="2"/>
        <v>1.7998082171571881</v>
      </c>
      <c r="O8" s="2">
        <f t="shared" si="2"/>
        <v>1.6494979546299742</v>
      </c>
      <c r="P8" s="2">
        <f t="shared" si="2"/>
        <v>1.8094679186228482</v>
      </c>
      <c r="Q8" s="2">
        <f t="shared" si="2"/>
        <v>1.6159516159516158</v>
      </c>
      <c r="R8" s="2">
        <f t="shared" si="2"/>
        <v>1.4781675017895493</v>
      </c>
      <c r="S8" s="2">
        <f t="shared" si="2"/>
        <v>1.0917537746806039</v>
      </c>
      <c r="T8" s="2">
        <f t="shared" si="2"/>
        <v>1.429663608562691</v>
      </c>
      <c r="U8" s="2">
        <f t="shared" si="2"/>
        <v>1.0361351139041635</v>
      </c>
      <c r="V8" s="2">
        <f t="shared" si="2"/>
        <v>1.0955904560555723</v>
      </c>
    </row>
    <row r="9" spans="1:22" x14ac:dyDescent="0.45">
      <c r="A9" s="5" t="s">
        <v>44</v>
      </c>
      <c r="B9">
        <v>200</v>
      </c>
      <c r="C9">
        <v>100</v>
      </c>
      <c r="D9">
        <v>250</v>
      </c>
      <c r="E9">
        <v>150</v>
      </c>
      <c r="F9">
        <v>180</v>
      </c>
      <c r="G9">
        <v>180</v>
      </c>
      <c r="H9">
        <v>170</v>
      </c>
      <c r="I9">
        <v>270</v>
      </c>
      <c r="J9">
        <v>160</v>
      </c>
      <c r="K9">
        <v>230</v>
      </c>
      <c r="L9">
        <v>230</v>
      </c>
      <c r="M9">
        <v>310</v>
      </c>
      <c r="N9">
        <v>310</v>
      </c>
      <c r="O9">
        <v>40</v>
      </c>
      <c r="P9">
        <v>47</v>
      </c>
      <c r="Q9">
        <v>51</v>
      </c>
      <c r="R9">
        <v>0</v>
      </c>
      <c r="S9">
        <v>23.9</v>
      </c>
      <c r="T9">
        <v>99.3</v>
      </c>
      <c r="U9">
        <v>60.4</v>
      </c>
      <c r="V9">
        <v>82.66</v>
      </c>
    </row>
    <row r="10" spans="1:22" x14ac:dyDescent="0.45">
      <c r="A10" s="5" t="s">
        <v>49</v>
      </c>
      <c r="B10" s="11">
        <v>0.09</v>
      </c>
      <c r="C10" s="11">
        <f>B10</f>
        <v>0.09</v>
      </c>
      <c r="D10" s="11">
        <f t="shared" ref="D10:S11" si="3">C10</f>
        <v>0.09</v>
      </c>
      <c r="E10" s="11">
        <f t="shared" si="3"/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>
        <f t="shared" si="3"/>
        <v>0.09</v>
      </c>
      <c r="K10" s="11">
        <f t="shared" ref="K10" si="4">J10</f>
        <v>0.09</v>
      </c>
      <c r="L10" s="11">
        <f t="shared" ref="L10" si="5">K10</f>
        <v>0.09</v>
      </c>
      <c r="M10" s="11">
        <f t="shared" ref="M10" si="6">L10</f>
        <v>0.09</v>
      </c>
      <c r="N10" s="11">
        <f t="shared" ref="N10" si="7">M10</f>
        <v>0.09</v>
      </c>
      <c r="O10" s="11">
        <f t="shared" ref="O10" si="8">N10</f>
        <v>0.09</v>
      </c>
      <c r="P10" s="11">
        <f t="shared" ref="P10" si="9">O10</f>
        <v>0.09</v>
      </c>
      <c r="Q10" s="11">
        <f t="shared" ref="Q10" si="10">P10</f>
        <v>0.09</v>
      </c>
      <c r="R10" s="11">
        <f t="shared" ref="R10" si="11">Q10</f>
        <v>0.09</v>
      </c>
      <c r="S10" s="11">
        <f t="shared" ref="S10" si="12">R10</f>
        <v>0.09</v>
      </c>
      <c r="T10" s="11">
        <f t="shared" ref="T10" si="13">S10</f>
        <v>0.09</v>
      </c>
      <c r="U10" s="11">
        <f t="shared" ref="U10" si="14">T10</f>
        <v>0.09</v>
      </c>
      <c r="V10" s="11">
        <f t="shared" ref="V10" si="15">U10</f>
        <v>0.09</v>
      </c>
    </row>
    <row r="11" spans="1:22" x14ac:dyDescent="0.45">
      <c r="A11" s="5" t="s">
        <v>50</v>
      </c>
      <c r="B11" s="11">
        <v>0.02</v>
      </c>
      <c r="C11" s="11">
        <f>B11</f>
        <v>0.02</v>
      </c>
      <c r="D11" s="11">
        <f t="shared" si="3"/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>
        <f t="shared" si="3"/>
        <v>0.02</v>
      </c>
      <c r="K11" s="11">
        <f t="shared" si="3"/>
        <v>0.02</v>
      </c>
      <c r="L11" s="11">
        <f t="shared" si="3"/>
        <v>0.02</v>
      </c>
      <c r="M11" s="11">
        <f t="shared" si="3"/>
        <v>0.02</v>
      </c>
      <c r="N11" s="11">
        <f t="shared" si="3"/>
        <v>0.02</v>
      </c>
      <c r="O11" s="11">
        <f t="shared" si="3"/>
        <v>0.02</v>
      </c>
      <c r="P11" s="11">
        <f t="shared" si="3"/>
        <v>0.02</v>
      </c>
      <c r="Q11" s="11">
        <f t="shared" si="3"/>
        <v>0.02</v>
      </c>
      <c r="R11" s="11">
        <f t="shared" si="3"/>
        <v>0.02</v>
      </c>
      <c r="S11" s="11">
        <f t="shared" si="3"/>
        <v>0.02</v>
      </c>
      <c r="T11" s="11">
        <f t="shared" ref="T11:V11" si="16">S11</f>
        <v>0.02</v>
      </c>
      <c r="U11" s="11">
        <f t="shared" si="16"/>
        <v>0.02</v>
      </c>
      <c r="V11" s="11">
        <f t="shared" si="16"/>
        <v>0.02</v>
      </c>
    </row>
    <row r="12" spans="1:22" x14ac:dyDescent="0.45">
      <c r="A12" s="5" t="s">
        <v>4</v>
      </c>
      <c r="B12">
        <f t="shared" ref="B12:V12" si="17">B4/(B10-B11)</f>
        <v>3257.1428571428573</v>
      </c>
      <c r="C12">
        <f t="shared" si="17"/>
        <v>3360</v>
      </c>
      <c r="D12">
        <f t="shared" si="17"/>
        <v>3348.5714285714289</v>
      </c>
      <c r="E12">
        <f t="shared" si="17"/>
        <v>3462.8571428571431</v>
      </c>
      <c r="F12">
        <f t="shared" si="17"/>
        <v>4205.7142857142862</v>
      </c>
      <c r="G12">
        <f t="shared" si="17"/>
        <v>4946.5714285714294</v>
      </c>
      <c r="H12">
        <f t="shared" si="17"/>
        <v>4137</v>
      </c>
      <c r="I12">
        <f t="shared" si="17"/>
        <v>5017.1428571428578</v>
      </c>
      <c r="J12">
        <f t="shared" si="17"/>
        <v>3571.428571428572</v>
      </c>
      <c r="K12">
        <f t="shared" si="17"/>
        <v>5277.1428571428578</v>
      </c>
      <c r="L12">
        <f t="shared" si="17"/>
        <v>4738.5714285714294</v>
      </c>
      <c r="M12">
        <f t="shared" si="17"/>
        <v>4911.4285714285725</v>
      </c>
      <c r="N12">
        <f t="shared" si="17"/>
        <v>4825.7142857142862</v>
      </c>
      <c r="O12">
        <f t="shared" si="17"/>
        <v>1035.7142857142858</v>
      </c>
      <c r="P12">
        <f t="shared" si="17"/>
        <v>1130</v>
      </c>
      <c r="Q12">
        <f t="shared" si="17"/>
        <v>1122.8571428571429</v>
      </c>
      <c r="R12">
        <f t="shared" si="17"/>
        <v>1127.1428571428573</v>
      </c>
      <c r="S12">
        <f t="shared" si="17"/>
        <v>617.14285714285722</v>
      </c>
      <c r="T12">
        <f t="shared" si="17"/>
        <v>962.857142857143</v>
      </c>
      <c r="U12">
        <f t="shared" si="17"/>
        <v>1328.5714285714287</v>
      </c>
      <c r="V12">
        <f t="shared" si="17"/>
        <v>1181.4285714285716</v>
      </c>
    </row>
    <row r="15" spans="1:22" x14ac:dyDescent="0.45">
      <c r="A15" t="s">
        <v>34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C508-4010-4E35-9F54-FB9323085912}">
  <dimension ref="A1:S14"/>
  <sheetViews>
    <sheetView topLeftCell="H1" zoomScale="85" zoomScaleNormal="85" workbookViewId="0">
      <selection activeCell="Q11" sqref="Q11"/>
    </sheetView>
  </sheetViews>
  <sheetFormatPr defaultRowHeight="14.25" x14ac:dyDescent="0.45"/>
  <cols>
    <col min="1" max="1" width="34.86328125" customWidth="1"/>
    <col min="2" max="17" width="17.53125" customWidth="1"/>
  </cols>
  <sheetData>
    <row r="1" spans="1:19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</row>
    <row r="2" spans="1:19" x14ac:dyDescent="0.45">
      <c r="A2" s="5" t="s">
        <v>30</v>
      </c>
      <c r="B2">
        <v>645</v>
      </c>
      <c r="C2">
        <v>959</v>
      </c>
      <c r="D2">
        <v>994.6</v>
      </c>
      <c r="E2">
        <v>815</v>
      </c>
      <c r="F2">
        <v>1035</v>
      </c>
      <c r="G2">
        <v>988</v>
      </c>
      <c r="H2">
        <v>1043</v>
      </c>
      <c r="I2">
        <v>670</v>
      </c>
      <c r="J2">
        <v>582.29999999999995</v>
      </c>
      <c r="K2">
        <v>676.5</v>
      </c>
      <c r="L2">
        <v>516.5</v>
      </c>
      <c r="M2">
        <v>638</v>
      </c>
      <c r="N2">
        <v>552</v>
      </c>
      <c r="O2">
        <v>620</v>
      </c>
      <c r="P2">
        <v>538</v>
      </c>
      <c r="Q2">
        <v>655</v>
      </c>
    </row>
    <row r="3" spans="1:19" x14ac:dyDescent="0.45">
      <c r="A3" s="5" t="s">
        <v>1</v>
      </c>
      <c r="B3" s="1">
        <v>128000000</v>
      </c>
      <c r="C3" s="1">
        <v>128000000</v>
      </c>
      <c r="D3" s="1">
        <v>128000000</v>
      </c>
      <c r="E3" s="1">
        <v>128000000</v>
      </c>
      <c r="F3" s="1">
        <v>128000000</v>
      </c>
      <c r="G3" s="1">
        <v>128000000</v>
      </c>
      <c r="H3" s="1">
        <v>128000000</v>
      </c>
      <c r="I3" s="1">
        <v>128000000</v>
      </c>
      <c r="J3" s="1">
        <v>128000000</v>
      </c>
      <c r="K3" s="1">
        <v>128000000</v>
      </c>
      <c r="L3" s="1">
        <v>128000000</v>
      </c>
      <c r="M3" s="1">
        <v>128000000</v>
      </c>
      <c r="N3" s="1">
        <v>128000000</v>
      </c>
      <c r="O3" s="1">
        <v>128000000</v>
      </c>
      <c r="P3" s="1">
        <v>128000000</v>
      </c>
      <c r="Q3" s="1">
        <v>128000000</v>
      </c>
    </row>
    <row r="4" spans="1:19" x14ac:dyDescent="0.45">
      <c r="A4" s="5" t="s">
        <v>37</v>
      </c>
      <c r="B4">
        <v>3.32</v>
      </c>
      <c r="C4">
        <v>2.4</v>
      </c>
      <c r="D4">
        <v>2.65</v>
      </c>
      <c r="E4">
        <v>2.87</v>
      </c>
      <c r="F4">
        <v>3.01</v>
      </c>
      <c r="G4">
        <v>1.57</v>
      </c>
      <c r="H4">
        <v>2.46</v>
      </c>
      <c r="I4">
        <v>-0.27</v>
      </c>
      <c r="J4">
        <v>2.16</v>
      </c>
      <c r="K4">
        <v>2.23</v>
      </c>
      <c r="L4">
        <v>2.04</v>
      </c>
      <c r="M4">
        <v>2.59</v>
      </c>
      <c r="N4">
        <v>1.81</v>
      </c>
      <c r="O4">
        <v>2.94</v>
      </c>
      <c r="P4">
        <v>3.63</v>
      </c>
      <c r="Q4">
        <v>4.3099999999999996</v>
      </c>
    </row>
    <row r="5" spans="1:19" x14ac:dyDescent="0.45">
      <c r="A5" s="6" t="s">
        <v>2</v>
      </c>
      <c r="B5" s="2">
        <f>B2/(B4*B10)</f>
        <v>7.241040195070255</v>
      </c>
      <c r="C5" s="2">
        <f t="shared" ref="C5:Q5" si="0">C2/(C4*C10)</f>
        <v>15.193282636248416</v>
      </c>
      <c r="D5" s="2">
        <f t="shared" si="0"/>
        <v>14.96195952628986</v>
      </c>
      <c r="E5" s="2">
        <f t="shared" si="0"/>
        <v>11.131796371444143</v>
      </c>
      <c r="F5" s="2">
        <f t="shared" si="0"/>
        <v>13.631469597542385</v>
      </c>
      <c r="G5" s="2">
        <f t="shared" si="0"/>
        <v>22.900267942406291</v>
      </c>
      <c r="H5" s="2">
        <f t="shared" si="0"/>
        <v>15.306272196295971</v>
      </c>
      <c r="I5" s="9" t="str">
        <f>IF(I2/(I4*I10)&lt;0,"X")</f>
        <v>X</v>
      </c>
      <c r="J5" s="2">
        <f t="shared" si="0"/>
        <v>9.9771773994571902</v>
      </c>
      <c r="K5" s="2">
        <f t="shared" si="0"/>
        <v>11.898930327497609</v>
      </c>
      <c r="L5" s="2">
        <f t="shared" si="0"/>
        <v>9.8324766799923857</v>
      </c>
      <c r="M5" s="2">
        <f t="shared" si="0"/>
        <v>9.694295408581123</v>
      </c>
      <c r="N5" s="2">
        <f t="shared" si="0"/>
        <v>11.666885068500678</v>
      </c>
      <c r="O5" s="2">
        <f t="shared" si="0"/>
        <v>8.4965493046533691</v>
      </c>
      <c r="P5" s="2">
        <f t="shared" si="0"/>
        <v>6.1306873377946047</v>
      </c>
      <c r="Q5" s="2">
        <f t="shared" si="0"/>
        <v>6.1564576776431776</v>
      </c>
    </row>
    <row r="6" spans="1:19" x14ac:dyDescent="0.45">
      <c r="A6" s="5" t="s">
        <v>6</v>
      </c>
      <c r="B6" s="8">
        <v>4138790000</v>
      </c>
      <c r="C6" s="8">
        <v>4628570000</v>
      </c>
      <c r="D6" s="8">
        <v>5029650000</v>
      </c>
      <c r="E6" s="8">
        <v>5049640000</v>
      </c>
      <c r="F6" s="8">
        <v>5688610000</v>
      </c>
      <c r="G6" s="8">
        <v>4966550000</v>
      </c>
      <c r="H6" s="8">
        <v>4796300000</v>
      </c>
      <c r="I6" s="8">
        <v>4414500000</v>
      </c>
      <c r="J6" s="8">
        <v>5711300000</v>
      </c>
      <c r="K6" s="8"/>
      <c r="L6" s="8"/>
      <c r="M6" s="8"/>
      <c r="N6" s="8"/>
      <c r="O6" s="8"/>
      <c r="P6" s="8"/>
      <c r="Q6" s="8"/>
    </row>
    <row r="7" spans="1:19" x14ac:dyDescent="0.45">
      <c r="A7" s="5" t="s">
        <v>7</v>
      </c>
      <c r="B7">
        <f t="shared" ref="B7:J7" si="1">B6/B3</f>
        <v>32.334296875</v>
      </c>
      <c r="C7">
        <f t="shared" si="1"/>
        <v>36.160703124999998</v>
      </c>
      <c r="D7">
        <f t="shared" si="1"/>
        <v>39.294140624999997</v>
      </c>
      <c r="E7">
        <f t="shared" si="1"/>
        <v>39.450312500000003</v>
      </c>
      <c r="F7">
        <f t="shared" si="1"/>
        <v>44.442265624999997</v>
      </c>
      <c r="G7">
        <f t="shared" si="1"/>
        <v>38.801171875000001</v>
      </c>
      <c r="H7">
        <f t="shared" si="1"/>
        <v>37.471093750000001</v>
      </c>
      <c r="I7">
        <f t="shared" si="1"/>
        <v>34.48828125</v>
      </c>
      <c r="J7">
        <f t="shared" si="1"/>
        <v>44.619531250000001</v>
      </c>
      <c r="K7">
        <v>31.93</v>
      </c>
      <c r="L7">
        <v>32.64</v>
      </c>
      <c r="M7">
        <v>33.67</v>
      </c>
      <c r="N7">
        <v>33.36</v>
      </c>
      <c r="O7">
        <v>36.090000000000003</v>
      </c>
      <c r="P7">
        <v>40.799999999999997</v>
      </c>
      <c r="Q7">
        <v>42.48</v>
      </c>
    </row>
    <row r="8" spans="1:19" x14ac:dyDescent="0.45">
      <c r="A8" s="6" t="s">
        <v>3</v>
      </c>
      <c r="B8" s="2">
        <f>B2/(B7*B10)</f>
        <v>0.74349083700720642</v>
      </c>
      <c r="C8" s="2">
        <f>C2/(C7*C10)</f>
        <v>1.0083841069391872</v>
      </c>
      <c r="D8" s="2">
        <f t="shared" ref="D8:Q8" si="2">D2/(D7*D10)</f>
        <v>1.0090357522526459</v>
      </c>
      <c r="E8" s="2">
        <f t="shared" si="2"/>
        <v>0.80983529816258581</v>
      </c>
      <c r="F8" s="2">
        <f t="shared" si="2"/>
        <v>0.92323653872231182</v>
      </c>
      <c r="G8" s="2">
        <f t="shared" si="2"/>
        <v>0.92660656707492484</v>
      </c>
      <c r="H8" s="2">
        <f t="shared" si="2"/>
        <v>1.0048660403164262</v>
      </c>
      <c r="I8" s="2">
        <f t="shared" si="2"/>
        <v>0.71898181577952147</v>
      </c>
      <c r="J8" s="2">
        <f t="shared" si="2"/>
        <v>0.48298811258416197</v>
      </c>
      <c r="K8" s="2">
        <f t="shared" si="2"/>
        <v>0.83102457345191583</v>
      </c>
      <c r="L8" s="2">
        <f t="shared" si="2"/>
        <v>0.61452979249952411</v>
      </c>
      <c r="M8" s="2">
        <f t="shared" si="2"/>
        <v>0.74571503142931717</v>
      </c>
      <c r="N8" s="2">
        <f t="shared" si="2"/>
        <v>0.63300545485570225</v>
      </c>
      <c r="O8" s="2">
        <f t="shared" si="2"/>
        <v>0.69215447369578553</v>
      </c>
      <c r="P8" s="2">
        <f t="shared" si="2"/>
        <v>0.54545085873025534</v>
      </c>
      <c r="Q8" s="2">
        <f t="shared" si="2"/>
        <v>0.62463118151229025</v>
      </c>
    </row>
    <row r="9" spans="1:19" x14ac:dyDescent="0.45">
      <c r="A9" s="5" t="s">
        <v>44</v>
      </c>
      <c r="B9">
        <v>2</v>
      </c>
      <c r="C9">
        <v>0.9</v>
      </c>
      <c r="D9">
        <v>1</v>
      </c>
      <c r="E9">
        <v>1.1000000000000001</v>
      </c>
      <c r="F9">
        <v>1.2</v>
      </c>
      <c r="G9">
        <v>1.3</v>
      </c>
      <c r="H9">
        <v>1.4</v>
      </c>
      <c r="I9">
        <v>0.6</v>
      </c>
      <c r="J9">
        <v>0.8</v>
      </c>
      <c r="K9">
        <v>0.9</v>
      </c>
      <c r="L9">
        <v>1</v>
      </c>
      <c r="M9">
        <v>1.1499999999999999</v>
      </c>
      <c r="N9">
        <v>0.75</v>
      </c>
      <c r="O9">
        <v>1.25</v>
      </c>
      <c r="P9">
        <v>1.3</v>
      </c>
      <c r="Q9">
        <v>1.4</v>
      </c>
    </row>
    <row r="10" spans="1:19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  <c r="L10">
        <v>25.75</v>
      </c>
      <c r="M10">
        <v>25.41</v>
      </c>
      <c r="N10">
        <v>26.14</v>
      </c>
      <c r="O10">
        <v>24.82</v>
      </c>
      <c r="P10">
        <v>24.175000000000001</v>
      </c>
      <c r="Q10">
        <v>24.684999999999999</v>
      </c>
    </row>
    <row r="11" spans="1:19" x14ac:dyDescent="0.45">
      <c r="A11" s="5" t="s">
        <v>48</v>
      </c>
      <c r="B11">
        <f>B9*B10</f>
        <v>53.66</v>
      </c>
      <c r="C11">
        <f t="shared" ref="C11:Q11" si="3">C9*C10</f>
        <v>23.67</v>
      </c>
      <c r="D11">
        <f t="shared" si="3"/>
        <v>25.085000000000001</v>
      </c>
      <c r="E11">
        <f t="shared" si="3"/>
        <v>28.061000000000003</v>
      </c>
      <c r="F11">
        <f t="shared" si="3"/>
        <v>30.27</v>
      </c>
      <c r="G11">
        <f t="shared" si="3"/>
        <v>35.724000000000004</v>
      </c>
      <c r="H11">
        <f t="shared" si="3"/>
        <v>38.779999999999994</v>
      </c>
      <c r="I11">
        <f t="shared" si="3"/>
        <v>16.212</v>
      </c>
      <c r="J11">
        <f t="shared" si="3"/>
        <v>21.616</v>
      </c>
      <c r="K11">
        <f t="shared" si="3"/>
        <v>22.945500000000003</v>
      </c>
      <c r="L11">
        <f t="shared" si="3"/>
        <v>25.75</v>
      </c>
      <c r="M11">
        <f t="shared" si="3"/>
        <v>29.221499999999999</v>
      </c>
      <c r="N11">
        <f t="shared" si="3"/>
        <v>19.605</v>
      </c>
      <c r="O11">
        <f t="shared" si="3"/>
        <v>31.024999999999999</v>
      </c>
      <c r="P11">
        <f t="shared" si="3"/>
        <v>31.427500000000002</v>
      </c>
      <c r="Q11">
        <f t="shared" si="3"/>
        <v>34.558999999999997</v>
      </c>
    </row>
    <row r="12" spans="1:19" x14ac:dyDescent="0.45">
      <c r="A12" s="5" t="s">
        <v>32</v>
      </c>
      <c r="B12" s="11">
        <v>0.09</v>
      </c>
      <c r="C12" s="11">
        <f>B12</f>
        <v>0.09</v>
      </c>
      <c r="D12" s="11">
        <f t="shared" ref="D12:Q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ref="K12" si="5">J12</f>
        <v>0.09</v>
      </c>
      <c r="L12" s="11">
        <f t="shared" ref="L12" si="6">K12</f>
        <v>0.09</v>
      </c>
      <c r="M12" s="11">
        <f t="shared" ref="M12" si="7">L12</f>
        <v>0.09</v>
      </c>
      <c r="N12" s="11">
        <f t="shared" ref="N12" si="8">M12</f>
        <v>0.09</v>
      </c>
      <c r="O12" s="11">
        <f t="shared" ref="O12" si="9">N12</f>
        <v>0.09</v>
      </c>
      <c r="P12" s="11">
        <f t="shared" ref="P12" si="10">O12</f>
        <v>0.09</v>
      </c>
      <c r="Q12" s="11">
        <f t="shared" ref="Q12" si="11">P12</f>
        <v>0.09</v>
      </c>
      <c r="R12" s="11"/>
      <c r="S12" s="11"/>
    </row>
    <row r="13" spans="1:19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>
        <f t="shared" si="4"/>
        <v>0.02</v>
      </c>
      <c r="M13" s="11">
        <f t="shared" si="4"/>
        <v>0.02</v>
      </c>
      <c r="N13" s="11">
        <f t="shared" si="4"/>
        <v>0.02</v>
      </c>
      <c r="O13" s="11">
        <f t="shared" si="4"/>
        <v>0.02</v>
      </c>
      <c r="P13" s="11">
        <f t="shared" si="4"/>
        <v>0.02</v>
      </c>
      <c r="Q13" s="11">
        <f t="shared" si="4"/>
        <v>0.02</v>
      </c>
      <c r="R13" s="11"/>
      <c r="S13" s="11"/>
    </row>
    <row r="14" spans="1:19" x14ac:dyDescent="0.45">
      <c r="A14" s="5" t="s">
        <v>43</v>
      </c>
      <c r="B14">
        <f>B11/(B12-B13)</f>
        <v>766.57142857142856</v>
      </c>
      <c r="C14">
        <f t="shared" ref="C14:Q14" si="12">C11/(C12-C13)</f>
        <v>338.14285714285722</v>
      </c>
      <c r="D14">
        <f t="shared" si="12"/>
        <v>358.35714285714289</v>
      </c>
      <c r="E14">
        <f t="shared" si="12"/>
        <v>400.87142857142868</v>
      </c>
      <c r="F14">
        <f t="shared" si="12"/>
        <v>432.42857142857144</v>
      </c>
      <c r="G14">
        <f t="shared" si="12"/>
        <v>510.34285714285727</v>
      </c>
      <c r="H14">
        <f t="shared" si="12"/>
        <v>554</v>
      </c>
      <c r="I14">
        <f t="shared" si="12"/>
        <v>231.60000000000002</v>
      </c>
      <c r="J14">
        <f t="shared" si="12"/>
        <v>308.8</v>
      </c>
      <c r="K14">
        <f t="shared" si="12"/>
        <v>327.7928571428572</v>
      </c>
      <c r="L14">
        <f t="shared" si="12"/>
        <v>367.85714285714289</v>
      </c>
      <c r="M14">
        <f t="shared" si="12"/>
        <v>417.45000000000005</v>
      </c>
      <c r="N14">
        <f t="shared" si="12"/>
        <v>280.07142857142861</v>
      </c>
      <c r="O14">
        <f t="shared" si="12"/>
        <v>443.21428571428572</v>
      </c>
      <c r="P14">
        <f t="shared" si="12"/>
        <v>448.96428571428578</v>
      </c>
      <c r="Q14">
        <f t="shared" si="12"/>
        <v>493.7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EAE5-A4F3-4E54-AF23-5C7F40C8063E}">
  <dimension ref="A1:J12"/>
  <sheetViews>
    <sheetView workbookViewId="0">
      <selection activeCell="I10" sqref="I10"/>
    </sheetView>
  </sheetViews>
  <sheetFormatPr defaultRowHeight="14.25" x14ac:dyDescent="0.45"/>
  <cols>
    <col min="1" max="1" width="31.73046875" customWidth="1"/>
    <col min="2" max="2" width="14.86328125" bestFit="1" customWidth="1"/>
    <col min="3" max="3" width="11.73046875" bestFit="1" customWidth="1"/>
    <col min="4" max="9" width="13.265625" customWidth="1"/>
  </cols>
  <sheetData>
    <row r="1" spans="1:10" ht="34.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10" x14ac:dyDescent="0.45">
      <c r="A2" s="5" t="s">
        <v>31</v>
      </c>
      <c r="B2">
        <v>82.7</v>
      </c>
      <c r="C2">
        <v>83.1</v>
      </c>
      <c r="D2">
        <v>72.5</v>
      </c>
      <c r="E2">
        <v>84.65</v>
      </c>
      <c r="F2">
        <v>69.7</v>
      </c>
      <c r="G2">
        <v>93.9</v>
      </c>
      <c r="H2">
        <v>94.1</v>
      </c>
      <c r="I2">
        <v>75.3</v>
      </c>
    </row>
    <row r="3" spans="1:10" x14ac:dyDescent="0.45">
      <c r="A3" s="5" t="s">
        <v>1</v>
      </c>
      <c r="B3">
        <v>511000000</v>
      </c>
      <c r="C3">
        <v>511000000</v>
      </c>
      <c r="D3">
        <v>511000000</v>
      </c>
      <c r="E3">
        <v>511000000</v>
      </c>
      <c r="F3">
        <v>511000000</v>
      </c>
      <c r="G3">
        <v>511000000</v>
      </c>
      <c r="H3">
        <v>511000000</v>
      </c>
      <c r="I3">
        <v>511000000</v>
      </c>
    </row>
    <row r="4" spans="1:10" x14ac:dyDescent="0.45">
      <c r="A4" s="5" t="s">
        <v>5</v>
      </c>
      <c r="B4">
        <v>7.93</v>
      </c>
      <c r="C4">
        <v>7.68</v>
      </c>
      <c r="D4">
        <v>8.2200000000000006</v>
      </c>
      <c r="E4">
        <v>7.86</v>
      </c>
      <c r="F4">
        <v>5.09</v>
      </c>
      <c r="G4">
        <v>7.8</v>
      </c>
      <c r="H4">
        <v>10.15</v>
      </c>
      <c r="I4">
        <v>10.18</v>
      </c>
    </row>
    <row r="5" spans="1:10" x14ac:dyDescent="0.45">
      <c r="A5" s="6" t="s">
        <v>2</v>
      </c>
      <c r="B5" s="2">
        <f t="shared" ref="B5:E5" si="0">B2/B4</f>
        <v>10.42875157629256</v>
      </c>
      <c r="C5" s="2">
        <f t="shared" si="0"/>
        <v>10.8203125</v>
      </c>
      <c r="D5" s="2">
        <f t="shared" si="0"/>
        <v>8.8199513381995125</v>
      </c>
      <c r="E5" s="2">
        <f t="shared" si="0"/>
        <v>10.769720101781171</v>
      </c>
      <c r="F5" s="2">
        <f t="shared" ref="F5:I5" si="1">F2/F4</f>
        <v>13.69351669941061</v>
      </c>
      <c r="G5" s="2">
        <f>G2/G4</f>
        <v>12.03846153846154</v>
      </c>
      <c r="H5" s="2">
        <f>H2/H4</f>
        <v>9.2709359605911317</v>
      </c>
      <c r="I5" s="2">
        <f t="shared" si="1"/>
        <v>7.3968565815324165</v>
      </c>
    </row>
    <row r="6" spans="1:10" x14ac:dyDescent="0.45">
      <c r="A6" s="5" t="s">
        <v>6</v>
      </c>
      <c r="B6">
        <v>27268000000</v>
      </c>
      <c r="C6">
        <v>25763000000</v>
      </c>
      <c r="D6">
        <v>25237000000</v>
      </c>
      <c r="E6">
        <v>24411000000</v>
      </c>
      <c r="F6">
        <v>27050000000</v>
      </c>
      <c r="G6">
        <v>29481000000</v>
      </c>
      <c r="H6">
        <v>31091000000</v>
      </c>
      <c r="I6">
        <v>32203000000</v>
      </c>
    </row>
    <row r="7" spans="1:10" x14ac:dyDescent="0.45">
      <c r="A7" s="5" t="s">
        <v>7</v>
      </c>
      <c r="B7">
        <f t="shared" ref="B7:I7" si="2">B6/B3</f>
        <v>53.36203522504892</v>
      </c>
      <c r="C7">
        <f t="shared" si="2"/>
        <v>50.416829745596871</v>
      </c>
      <c r="D7">
        <f t="shared" si="2"/>
        <v>49.387475538160473</v>
      </c>
      <c r="E7">
        <f t="shared" si="2"/>
        <v>47.771037181996086</v>
      </c>
      <c r="F7">
        <f t="shared" si="2"/>
        <v>52.935420743639924</v>
      </c>
      <c r="G7">
        <f t="shared" si="2"/>
        <v>57.692759295499023</v>
      </c>
      <c r="H7">
        <f t="shared" si="2"/>
        <v>60.843444227005868</v>
      </c>
      <c r="I7">
        <f t="shared" si="2"/>
        <v>63.019569471624266</v>
      </c>
    </row>
    <row r="8" spans="1:10" x14ac:dyDescent="0.45">
      <c r="A8" s="6" t="s">
        <v>3</v>
      </c>
      <c r="B8" s="2">
        <f t="shared" ref="B8:I8" si="3">B2/B7</f>
        <v>1.5497909637670531</v>
      </c>
      <c r="C8" s="2">
        <f t="shared" si="3"/>
        <v>1.6482591313123469</v>
      </c>
      <c r="D8" s="2">
        <f t="shared" si="3"/>
        <v>1.4679835162658001</v>
      </c>
      <c r="E8" s="2">
        <f t="shared" si="3"/>
        <v>1.7719941829503094</v>
      </c>
      <c r="F8" s="2">
        <f t="shared" si="3"/>
        <v>1.3166987060998152</v>
      </c>
      <c r="G8" s="2">
        <f t="shared" si="3"/>
        <v>1.6275872595909231</v>
      </c>
      <c r="H8" s="2">
        <f t="shared" si="3"/>
        <v>1.5465922614261363</v>
      </c>
      <c r="I8" s="2">
        <f t="shared" si="3"/>
        <v>1.194866937862932</v>
      </c>
    </row>
    <row r="9" spans="1:10" x14ac:dyDescent="0.45">
      <c r="A9" s="5" t="s">
        <v>44</v>
      </c>
      <c r="B9">
        <v>9.8000000000000007</v>
      </c>
      <c r="C9">
        <v>8</v>
      </c>
      <c r="D9">
        <v>6.15</v>
      </c>
      <c r="E9">
        <v>3.3</v>
      </c>
      <c r="F9">
        <v>3</v>
      </c>
      <c r="G9">
        <v>7</v>
      </c>
      <c r="H9">
        <v>8</v>
      </c>
      <c r="I9">
        <v>9</v>
      </c>
    </row>
    <row r="10" spans="1:10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4">C10</f>
        <v>0.09</v>
      </c>
      <c r="E10" s="11">
        <f t="shared" si="4"/>
        <v>0.09</v>
      </c>
      <c r="F10" s="11">
        <f t="shared" si="4"/>
        <v>0.09</v>
      </c>
      <c r="G10" s="11">
        <f t="shared" si="4"/>
        <v>0.09</v>
      </c>
      <c r="H10" s="11">
        <f t="shared" si="4"/>
        <v>0.09</v>
      </c>
      <c r="I10" s="11">
        <f t="shared" si="4"/>
        <v>0.09</v>
      </c>
      <c r="J10" s="11"/>
    </row>
    <row r="11" spans="1:10" x14ac:dyDescent="0.45">
      <c r="A11" s="5" t="s">
        <v>41</v>
      </c>
      <c r="B11" s="11">
        <v>0.02</v>
      </c>
      <c r="C11" s="11">
        <f>B11</f>
        <v>0.02</v>
      </c>
      <c r="D11" s="11">
        <f t="shared" si="4"/>
        <v>0.02</v>
      </c>
      <c r="E11" s="11">
        <f t="shared" si="4"/>
        <v>0.02</v>
      </c>
      <c r="F11" s="11">
        <f t="shared" si="4"/>
        <v>0.02</v>
      </c>
      <c r="G11" s="11">
        <f t="shared" si="4"/>
        <v>0.02</v>
      </c>
      <c r="H11" s="11">
        <f t="shared" si="4"/>
        <v>0.02</v>
      </c>
      <c r="I11" s="11">
        <f t="shared" si="4"/>
        <v>0.02</v>
      </c>
      <c r="J11" s="11"/>
    </row>
    <row r="12" spans="1:10" x14ac:dyDescent="0.45">
      <c r="A12" s="5" t="s">
        <v>35</v>
      </c>
      <c r="B12">
        <f>B9/(B10-B11)</f>
        <v>140.00000000000003</v>
      </c>
      <c r="C12">
        <f t="shared" ref="C12:I12" si="5">C9/(C10-C11)</f>
        <v>114.28571428571429</v>
      </c>
      <c r="D12">
        <f t="shared" si="5"/>
        <v>87.857142857142875</v>
      </c>
      <c r="E12">
        <f t="shared" si="5"/>
        <v>47.142857142857146</v>
      </c>
      <c r="F12">
        <f t="shared" si="5"/>
        <v>42.857142857142861</v>
      </c>
      <c r="G12">
        <f t="shared" si="5"/>
        <v>100.00000000000001</v>
      </c>
      <c r="H12">
        <f t="shared" si="5"/>
        <v>114.28571428571429</v>
      </c>
      <c r="I12">
        <f t="shared" si="5"/>
        <v>128.57142857142858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963E-5E68-4AD1-ABF0-57D01672F6E2}">
  <dimension ref="A1:V12"/>
  <sheetViews>
    <sheetView zoomScale="99" workbookViewId="0">
      <selection activeCell="I12" sqref="I12"/>
    </sheetView>
  </sheetViews>
  <sheetFormatPr defaultRowHeight="14.25" x14ac:dyDescent="0.45"/>
  <cols>
    <col min="1" max="1" width="33.46484375" customWidth="1"/>
    <col min="2" max="9" width="14.19921875" customWidth="1"/>
  </cols>
  <sheetData>
    <row r="1" spans="1:22" ht="29.65" customHeight="1" x14ac:dyDescent="0.45">
      <c r="A1" s="4" t="s">
        <v>11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</row>
    <row r="2" spans="1:22" x14ac:dyDescent="0.45">
      <c r="A2" s="5" t="s">
        <v>31</v>
      </c>
      <c r="B2">
        <v>490</v>
      </c>
      <c r="C2">
        <v>362</v>
      </c>
      <c r="D2">
        <v>420</v>
      </c>
      <c r="E2">
        <v>285</v>
      </c>
      <c r="F2">
        <v>283</v>
      </c>
      <c r="G2">
        <v>236</v>
      </c>
      <c r="H2">
        <v>310</v>
      </c>
      <c r="I2">
        <v>250</v>
      </c>
    </row>
    <row r="3" spans="1:22" x14ac:dyDescent="0.45">
      <c r="A3" s="5" t="s">
        <v>1</v>
      </c>
      <c r="B3">
        <v>22295000</v>
      </c>
      <c r="C3">
        <v>22295000</v>
      </c>
      <c r="D3">
        <v>22291948</v>
      </c>
      <c r="E3">
        <v>22291948</v>
      </c>
      <c r="F3">
        <v>22291948</v>
      </c>
      <c r="G3">
        <v>22291948</v>
      </c>
      <c r="H3">
        <v>22291948</v>
      </c>
      <c r="I3">
        <v>22291948</v>
      </c>
    </row>
    <row r="4" spans="1:22" x14ac:dyDescent="0.45">
      <c r="A4" s="5" t="s">
        <v>5</v>
      </c>
      <c r="B4">
        <v>3.87</v>
      </c>
      <c r="C4">
        <v>7.12</v>
      </c>
      <c r="D4">
        <v>15.42</v>
      </c>
      <c r="E4">
        <v>11.71</v>
      </c>
      <c r="F4">
        <v>3.61</v>
      </c>
      <c r="G4">
        <v>11.16</v>
      </c>
      <c r="H4">
        <v>12.07</v>
      </c>
      <c r="I4">
        <v>16.39</v>
      </c>
    </row>
    <row r="5" spans="1:22" x14ac:dyDescent="0.45">
      <c r="A5" s="6" t="s">
        <v>2</v>
      </c>
      <c r="B5" s="2">
        <f t="shared" ref="B5:I5" si="0">B2/B4</f>
        <v>126.61498708010336</v>
      </c>
      <c r="C5" s="2">
        <f t="shared" si="0"/>
        <v>50.842696629213485</v>
      </c>
      <c r="D5" s="2">
        <f t="shared" si="0"/>
        <v>27.237354085603112</v>
      </c>
      <c r="E5" s="2">
        <f t="shared" si="0"/>
        <v>24.338172502134924</v>
      </c>
      <c r="F5" s="2">
        <f t="shared" si="0"/>
        <v>78.393351800554015</v>
      </c>
      <c r="G5" s="2">
        <f>G2/G4</f>
        <v>21.146953405017921</v>
      </c>
      <c r="H5" s="2">
        <f>H2/H4</f>
        <v>25.683512841756421</v>
      </c>
      <c r="I5" s="2">
        <f t="shared" si="0"/>
        <v>15.253203172666259</v>
      </c>
    </row>
    <row r="6" spans="1:22" x14ac:dyDescent="0.45">
      <c r="A6" s="5" t="s">
        <v>6</v>
      </c>
      <c r="B6">
        <v>2739468000</v>
      </c>
      <c r="C6">
        <v>1973986000</v>
      </c>
      <c r="D6">
        <v>1475246000</v>
      </c>
      <c r="E6">
        <v>1513550000</v>
      </c>
      <c r="F6">
        <v>1307192000</v>
      </c>
      <c r="G6">
        <v>1296959000</v>
      </c>
      <c r="H6">
        <v>1287629000</v>
      </c>
      <c r="I6">
        <v>1457850000</v>
      </c>
    </row>
    <row r="7" spans="1:22" x14ac:dyDescent="0.45">
      <c r="A7" s="5" t="s">
        <v>7</v>
      </c>
      <c r="B7">
        <f t="shared" ref="B7:I7" si="1">B6/B3</f>
        <v>122.87364880017941</v>
      </c>
      <c r="C7">
        <f t="shared" si="1"/>
        <v>88.539403453689161</v>
      </c>
      <c r="D7">
        <f t="shared" si="1"/>
        <v>66.178424604256207</v>
      </c>
      <c r="E7">
        <f t="shared" si="1"/>
        <v>67.896713198864447</v>
      </c>
      <c r="F7">
        <f t="shared" si="1"/>
        <v>58.63964871979784</v>
      </c>
      <c r="G7">
        <f t="shared" si="1"/>
        <v>58.180604045909313</v>
      </c>
      <c r="H7">
        <f t="shared" si="1"/>
        <v>57.762067272003328</v>
      </c>
      <c r="I7">
        <f t="shared" si="1"/>
        <v>65.398053144570412</v>
      </c>
    </row>
    <row r="8" spans="1:22" x14ac:dyDescent="0.45">
      <c r="A8" s="6" t="s">
        <v>3</v>
      </c>
      <c r="B8" s="2">
        <f t="shared" ref="B8:I8" si="2">B2/B7</f>
        <v>3.9878363244250346</v>
      </c>
      <c r="C8" s="2">
        <f t="shared" si="2"/>
        <v>4.0885750962772791</v>
      </c>
      <c r="D8" s="2">
        <f t="shared" si="2"/>
        <v>6.3464792719315968</v>
      </c>
      <c r="E8" s="2">
        <f t="shared" si="2"/>
        <v>4.1975522315087046</v>
      </c>
      <c r="F8" s="2">
        <f t="shared" si="2"/>
        <v>4.8260862092179266</v>
      </c>
      <c r="G8" s="2">
        <f t="shared" si="2"/>
        <v>4.0563346474329567</v>
      </c>
      <c r="H8" s="2">
        <f t="shared" si="2"/>
        <v>5.3668439278705273</v>
      </c>
      <c r="I8" s="2">
        <f t="shared" si="2"/>
        <v>3.8227437665054702</v>
      </c>
    </row>
    <row r="9" spans="1:22" x14ac:dyDescent="0.45">
      <c r="A9" s="5" t="s">
        <v>44</v>
      </c>
      <c r="B9">
        <v>13.5</v>
      </c>
      <c r="C9">
        <v>16.2</v>
      </c>
      <c r="D9">
        <v>13.5</v>
      </c>
      <c r="E9">
        <v>13.5</v>
      </c>
      <c r="F9">
        <v>13.5</v>
      </c>
      <c r="G9">
        <v>11.3</v>
      </c>
      <c r="H9">
        <v>13.5</v>
      </c>
      <c r="I9">
        <v>13.5</v>
      </c>
    </row>
    <row r="10" spans="1:22" x14ac:dyDescent="0.45">
      <c r="A10" s="5" t="s">
        <v>42</v>
      </c>
      <c r="B10" s="11">
        <v>0.09</v>
      </c>
      <c r="C10" s="11">
        <f>B10</f>
        <v>0.09</v>
      </c>
      <c r="D10" s="11">
        <f t="shared" ref="D10:I11" si="3">C10</f>
        <v>0.09</v>
      </c>
      <c r="E10" s="11">
        <f t="shared" si="3"/>
        <v>0.09</v>
      </c>
      <c r="F10" s="11">
        <f t="shared" si="3"/>
        <v>0.09</v>
      </c>
      <c r="G10" s="11">
        <f t="shared" si="3"/>
        <v>0.09</v>
      </c>
      <c r="H10" s="11">
        <f t="shared" si="3"/>
        <v>0.09</v>
      </c>
      <c r="I10" s="11">
        <f t="shared" si="3"/>
        <v>0.09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x14ac:dyDescent="0.45">
      <c r="A11" s="5" t="s">
        <v>41</v>
      </c>
      <c r="B11" s="11">
        <v>0.02</v>
      </c>
      <c r="C11" s="11">
        <f>B11</f>
        <v>0.02</v>
      </c>
      <c r="D11" s="11">
        <f t="shared" si="3"/>
        <v>0.02</v>
      </c>
      <c r="E11" s="11">
        <f t="shared" si="3"/>
        <v>0.02</v>
      </c>
      <c r="F11" s="11">
        <f t="shared" si="3"/>
        <v>0.02</v>
      </c>
      <c r="G11" s="11">
        <f t="shared" si="3"/>
        <v>0.02</v>
      </c>
      <c r="H11" s="11">
        <f t="shared" si="3"/>
        <v>0.02</v>
      </c>
      <c r="I11" s="11">
        <f t="shared" si="3"/>
        <v>0.02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x14ac:dyDescent="0.45">
      <c r="A12" s="5" t="s">
        <v>35</v>
      </c>
      <c r="B12">
        <f>B9/(B10-B11)</f>
        <v>192.85714285714289</v>
      </c>
      <c r="C12">
        <f t="shared" ref="C12:I12" si="4">C9/(C10-C11)</f>
        <v>231.42857142857144</v>
      </c>
      <c r="D12">
        <f t="shared" si="4"/>
        <v>192.85714285714289</v>
      </c>
      <c r="E12">
        <f t="shared" si="4"/>
        <v>192.85714285714289</v>
      </c>
      <c r="F12">
        <f t="shared" si="4"/>
        <v>192.85714285714289</v>
      </c>
      <c r="G12">
        <f t="shared" si="4"/>
        <v>161.42857142857144</v>
      </c>
      <c r="H12">
        <f t="shared" si="4"/>
        <v>192.85714285714289</v>
      </c>
      <c r="I12">
        <f t="shared" si="4"/>
        <v>192.85714285714289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C9B0-BE8C-4CEA-B864-78582AD31976}">
  <dimension ref="A1:E12"/>
  <sheetViews>
    <sheetView workbookViewId="0">
      <selection activeCell="E12" sqref="E12"/>
    </sheetView>
  </sheetViews>
  <sheetFormatPr defaultRowHeight="14.25" x14ac:dyDescent="0.45"/>
  <cols>
    <col min="1" max="1" width="32.73046875" customWidth="1"/>
    <col min="2" max="5" width="15.796875" customWidth="1"/>
  </cols>
  <sheetData>
    <row r="1" spans="1:5" ht="39" customHeight="1" x14ac:dyDescent="0.45">
      <c r="A1" s="4" t="s">
        <v>11</v>
      </c>
      <c r="B1" s="3" t="s">
        <v>26</v>
      </c>
      <c r="C1" s="3" t="s">
        <v>27</v>
      </c>
      <c r="D1" s="3" t="s">
        <v>28</v>
      </c>
      <c r="E1" s="3" t="s">
        <v>29</v>
      </c>
    </row>
    <row r="2" spans="1:5" x14ac:dyDescent="0.45">
      <c r="A2" s="5" t="s">
        <v>31</v>
      </c>
      <c r="B2">
        <v>298</v>
      </c>
      <c r="C2">
        <v>506</v>
      </c>
      <c r="D2">
        <v>565</v>
      </c>
      <c r="E2">
        <v>536</v>
      </c>
    </row>
    <row r="3" spans="1:5" x14ac:dyDescent="0.45">
      <c r="A3" s="5" t="s">
        <v>1</v>
      </c>
      <c r="B3">
        <v>32638000</v>
      </c>
      <c r="C3">
        <v>33736620</v>
      </c>
      <c r="D3">
        <v>34101911</v>
      </c>
      <c r="E3">
        <v>35157410</v>
      </c>
    </row>
    <row r="4" spans="1:5" x14ac:dyDescent="0.45">
      <c r="A4" s="5" t="s">
        <v>5</v>
      </c>
      <c r="B4">
        <v>21</v>
      </c>
      <c r="C4">
        <v>23</v>
      </c>
      <c r="D4">
        <v>60</v>
      </c>
      <c r="E4">
        <v>58</v>
      </c>
    </row>
    <row r="5" spans="1:5" x14ac:dyDescent="0.45">
      <c r="A5" s="6" t="s">
        <v>2</v>
      </c>
      <c r="B5" s="2">
        <f t="shared" ref="B5:E5" si="0">B2/B4</f>
        <v>14.19047619047619</v>
      </c>
      <c r="C5" s="2">
        <f>C2/C4</f>
        <v>22</v>
      </c>
      <c r="D5" s="2">
        <f>D2/D4</f>
        <v>9.4166666666666661</v>
      </c>
      <c r="E5" s="2">
        <f t="shared" si="0"/>
        <v>9.2413793103448274</v>
      </c>
    </row>
    <row r="6" spans="1:5" x14ac:dyDescent="0.45">
      <c r="A6" s="5" t="s">
        <v>6</v>
      </c>
      <c r="B6">
        <v>4522686000</v>
      </c>
      <c r="C6">
        <v>5241828000</v>
      </c>
      <c r="D6">
        <v>7681371000</v>
      </c>
      <c r="E6">
        <v>9274846000</v>
      </c>
    </row>
    <row r="7" spans="1:5" x14ac:dyDescent="0.45">
      <c r="A7" s="5" t="s">
        <v>7</v>
      </c>
      <c r="B7">
        <f t="shared" ref="B7:E7" si="1">B6/B3</f>
        <v>138.57117470433238</v>
      </c>
      <c r="C7">
        <f t="shared" si="1"/>
        <v>155.37501978562167</v>
      </c>
      <c r="D7">
        <f t="shared" si="1"/>
        <v>225.24752351855003</v>
      </c>
      <c r="E7">
        <f t="shared" si="1"/>
        <v>263.80913724873363</v>
      </c>
    </row>
    <row r="8" spans="1:5" x14ac:dyDescent="0.45">
      <c r="A8" s="6" t="s">
        <v>3</v>
      </c>
      <c r="B8" s="2">
        <f t="shared" ref="B8:E8" si="2">B2/B7</f>
        <v>2.1505194037348603</v>
      </c>
      <c r="C8" s="2">
        <f t="shared" si="2"/>
        <v>3.256636753437923</v>
      </c>
      <c r="D8" s="2">
        <f t="shared" si="2"/>
        <v>2.5083516620926134</v>
      </c>
      <c r="E8" s="2">
        <f t="shared" si="2"/>
        <v>2.0317719302293535</v>
      </c>
    </row>
    <row r="9" spans="1:5" x14ac:dyDescent="0.45">
      <c r="A9" s="5" t="s">
        <v>44</v>
      </c>
      <c r="B9">
        <v>7.5</v>
      </c>
      <c r="C9">
        <v>25</v>
      </c>
      <c r="D9">
        <v>30</v>
      </c>
      <c r="E9">
        <v>30</v>
      </c>
    </row>
    <row r="10" spans="1:5" x14ac:dyDescent="0.45">
      <c r="A10" s="5" t="s">
        <v>42</v>
      </c>
      <c r="B10" s="11">
        <v>0.09</v>
      </c>
      <c r="C10" s="11">
        <f t="shared" ref="C10:E11" si="3">B10</f>
        <v>0.09</v>
      </c>
      <c r="D10" s="11">
        <f t="shared" si="3"/>
        <v>0.09</v>
      </c>
      <c r="E10" s="11">
        <f t="shared" si="3"/>
        <v>0.09</v>
      </c>
    </row>
    <row r="11" spans="1:5" x14ac:dyDescent="0.45">
      <c r="A11" s="5" t="s">
        <v>41</v>
      </c>
      <c r="B11" s="12">
        <v>0.02</v>
      </c>
      <c r="C11" s="12">
        <f t="shared" si="3"/>
        <v>0.02</v>
      </c>
      <c r="D11" s="12">
        <f t="shared" si="3"/>
        <v>0.02</v>
      </c>
      <c r="E11" s="12">
        <f t="shared" si="3"/>
        <v>0.02</v>
      </c>
    </row>
    <row r="12" spans="1:5" x14ac:dyDescent="0.45">
      <c r="A12" s="5" t="s">
        <v>35</v>
      </c>
      <c r="B12" s="2">
        <f>B9/(B10-B11)</f>
        <v>107.14285714285715</v>
      </c>
      <c r="C12" s="2">
        <f t="shared" ref="C12:D12" si="4">C9/(C10-C11)</f>
        <v>357.14285714285717</v>
      </c>
      <c r="D12" s="2">
        <f t="shared" si="4"/>
        <v>428.57142857142861</v>
      </c>
      <c r="E12" s="2">
        <f t="shared" ref="E12" si="5">E9/(E10-E11)</f>
        <v>428.57142857142861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DA397-E50C-4398-B22E-8B319FC970B9}">
  <dimension ref="A1:V16"/>
  <sheetViews>
    <sheetView zoomScale="105" workbookViewId="0">
      <selection activeCell="S12" sqref="S12"/>
    </sheetView>
  </sheetViews>
  <sheetFormatPr defaultRowHeight="14.25" x14ac:dyDescent="0.45"/>
  <cols>
    <col min="1" max="1" width="34.06640625" customWidth="1"/>
    <col min="2" max="19" width="17" customWidth="1"/>
  </cols>
  <sheetData>
    <row r="1" spans="1:22" ht="37.9" customHeight="1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</row>
    <row r="2" spans="1:22" x14ac:dyDescent="0.45">
      <c r="A2" s="5" t="s">
        <v>30</v>
      </c>
      <c r="B2">
        <v>289.7</v>
      </c>
      <c r="C2">
        <v>377.7</v>
      </c>
      <c r="D2">
        <v>527</v>
      </c>
      <c r="E2">
        <v>479.7</v>
      </c>
      <c r="F2">
        <v>549</v>
      </c>
      <c r="G2">
        <v>425</v>
      </c>
      <c r="H2">
        <v>429</v>
      </c>
      <c r="I2">
        <v>386.5</v>
      </c>
      <c r="J2">
        <v>382.5</v>
      </c>
      <c r="K2">
        <v>333</v>
      </c>
      <c r="L2">
        <v>295</v>
      </c>
      <c r="M2">
        <v>235.1</v>
      </c>
      <c r="N2">
        <v>251.5</v>
      </c>
      <c r="O2">
        <v>264.89999999999998</v>
      </c>
      <c r="P2">
        <v>279</v>
      </c>
      <c r="Q2">
        <v>243.5</v>
      </c>
      <c r="R2">
        <v>234</v>
      </c>
      <c r="S2">
        <v>249</v>
      </c>
    </row>
    <row r="3" spans="1:22" x14ac:dyDescent="0.45">
      <c r="A3" s="5" t="s">
        <v>1</v>
      </c>
      <c r="B3" s="1">
        <v>322089900</v>
      </c>
      <c r="C3" s="1">
        <v>322089900</v>
      </c>
      <c r="D3" s="1">
        <v>322089900</v>
      </c>
      <c r="E3" s="1">
        <v>322089900</v>
      </c>
      <c r="F3" s="1">
        <v>322089900</v>
      </c>
      <c r="G3" s="1">
        <v>322089900</v>
      </c>
      <c r="H3" s="1">
        <v>322089900</v>
      </c>
      <c r="I3" s="1">
        <v>322089900</v>
      </c>
      <c r="J3" s="1">
        <v>322089900</v>
      </c>
      <c r="K3" s="1">
        <v>319932546</v>
      </c>
      <c r="L3" s="1">
        <v>312834249</v>
      </c>
      <c r="M3" s="1">
        <v>310220067</v>
      </c>
      <c r="N3" s="1">
        <v>310220067</v>
      </c>
      <c r="O3" s="1">
        <v>308205000</v>
      </c>
      <c r="P3" s="1">
        <v>303567000</v>
      </c>
      <c r="Q3" s="1">
        <v>301525000</v>
      </c>
      <c r="R3" s="1">
        <v>301409000</v>
      </c>
      <c r="S3" s="1">
        <v>300882147</v>
      </c>
    </row>
    <row r="4" spans="1:22" x14ac:dyDescent="0.45">
      <c r="A4" s="5" t="s">
        <v>5</v>
      </c>
      <c r="B4">
        <v>-5.5</v>
      </c>
      <c r="C4">
        <v>18</v>
      </c>
      <c r="D4">
        <v>19</v>
      </c>
      <c r="E4">
        <v>25</v>
      </c>
      <c r="F4">
        <v>32</v>
      </c>
      <c r="G4">
        <v>36</v>
      </c>
      <c r="H4">
        <v>36</v>
      </c>
      <c r="I4">
        <v>38</v>
      </c>
      <c r="J4">
        <v>27</v>
      </c>
      <c r="K4">
        <v>21</v>
      </c>
      <c r="L4">
        <v>18</v>
      </c>
      <c r="M4">
        <v>13</v>
      </c>
      <c r="N4">
        <v>16</v>
      </c>
      <c r="O4">
        <v>17</v>
      </c>
      <c r="P4">
        <v>18.399999999999999</v>
      </c>
      <c r="Q4">
        <v>18.100000000000001</v>
      </c>
      <c r="R4">
        <v>18</v>
      </c>
      <c r="S4">
        <v>19</v>
      </c>
    </row>
    <row r="5" spans="1:22" x14ac:dyDescent="0.45">
      <c r="A5" s="6" t="s">
        <v>2</v>
      </c>
      <c r="B5" s="9" t="str">
        <f>IF((B2/B4)&lt;0,"N/A")</f>
        <v>N/A</v>
      </c>
      <c r="C5" s="2">
        <f t="shared" ref="C5:S5" si="0">C2/C4</f>
        <v>20.983333333333334</v>
      </c>
      <c r="D5" s="2">
        <f t="shared" si="0"/>
        <v>27.736842105263158</v>
      </c>
      <c r="E5" s="2">
        <f t="shared" si="0"/>
        <v>19.187999999999999</v>
      </c>
      <c r="F5" s="2">
        <f t="shared" si="0"/>
        <v>17.15625</v>
      </c>
      <c r="G5" s="2">
        <f t="shared" si="0"/>
        <v>11.805555555555555</v>
      </c>
      <c r="H5" s="2">
        <f t="shared" si="0"/>
        <v>11.916666666666666</v>
      </c>
      <c r="I5" s="2">
        <f t="shared" si="0"/>
        <v>10.171052631578947</v>
      </c>
      <c r="J5" s="2">
        <f t="shared" si="0"/>
        <v>14.166666666666666</v>
      </c>
      <c r="K5" s="2">
        <f t="shared" si="0"/>
        <v>15.857142857142858</v>
      </c>
      <c r="L5" s="2">
        <f t="shared" si="0"/>
        <v>16.388888888888889</v>
      </c>
      <c r="M5" s="2">
        <f t="shared" si="0"/>
        <v>18.084615384615383</v>
      </c>
      <c r="N5" s="2">
        <f t="shared" si="0"/>
        <v>15.71875</v>
      </c>
      <c r="O5" s="2">
        <f t="shared" si="0"/>
        <v>15.582352941176469</v>
      </c>
      <c r="P5" s="2">
        <f t="shared" si="0"/>
        <v>15.163043478260871</v>
      </c>
      <c r="Q5" s="2">
        <f t="shared" si="0"/>
        <v>13.453038674033149</v>
      </c>
      <c r="R5" s="2">
        <f t="shared" si="0"/>
        <v>13</v>
      </c>
      <c r="S5" s="2">
        <f t="shared" si="0"/>
        <v>13.105263157894736</v>
      </c>
    </row>
    <row r="6" spans="1:22" x14ac:dyDescent="0.45">
      <c r="A6" s="5" t="s">
        <v>6</v>
      </c>
      <c r="B6">
        <v>90148000000</v>
      </c>
      <c r="C6">
        <v>88705000000</v>
      </c>
      <c r="D6">
        <v>94975000000</v>
      </c>
      <c r="E6">
        <v>88481000000</v>
      </c>
      <c r="F6">
        <v>82792000000</v>
      </c>
      <c r="G6">
        <v>78168000000</v>
      </c>
      <c r="H6">
        <v>73789000000</v>
      </c>
      <c r="I6">
        <v>73176000000</v>
      </c>
      <c r="J6">
        <v>69097000000</v>
      </c>
      <c r="K6">
        <v>60574000000</v>
      </c>
      <c r="L6">
        <v>55749000000</v>
      </c>
      <c r="M6">
        <v>54153000000</v>
      </c>
      <c r="N6">
        <v>18344000000</v>
      </c>
      <c r="O6">
        <v>17505000000</v>
      </c>
      <c r="P6">
        <v>15475000000</v>
      </c>
      <c r="Q6">
        <v>15225000000</v>
      </c>
      <c r="R6">
        <v>14177000000</v>
      </c>
      <c r="S6">
        <v>13786000000</v>
      </c>
    </row>
    <row r="7" spans="1:22" x14ac:dyDescent="0.45">
      <c r="A7" s="5" t="s">
        <v>7</v>
      </c>
      <c r="B7">
        <f>B6/B3</f>
        <v>279.88459122748026</v>
      </c>
      <c r="C7">
        <f t="shared" ref="C7:E7" si="1">C6/C3</f>
        <v>275.40447558274877</v>
      </c>
      <c r="D7">
        <f t="shared" si="1"/>
        <v>294.8710903384428</v>
      </c>
      <c r="E7">
        <f t="shared" si="1"/>
        <v>274.70901757552781</v>
      </c>
      <c r="F7">
        <f t="shared" ref="F7" si="2">F6/F3</f>
        <v>257.04624702606321</v>
      </c>
      <c r="G7">
        <f t="shared" ref="G7" si="3">G6/G3</f>
        <v>242.69000673414473</v>
      </c>
      <c r="H7">
        <f t="shared" ref="H7" si="4">H6/H3</f>
        <v>229.09442363762415</v>
      </c>
      <c r="I7">
        <f t="shared" ref="I7" si="5">I6/I3</f>
        <v>227.19122828750608</v>
      </c>
      <c r="J7">
        <f t="shared" ref="J7" si="6">J6/J3</f>
        <v>214.52706216494215</v>
      </c>
      <c r="K7">
        <f t="shared" ref="K7" si="7">K6/K3</f>
        <v>189.33366035226689</v>
      </c>
      <c r="L7">
        <f t="shared" ref="L7" si="8">L6/L3</f>
        <v>178.20619122812221</v>
      </c>
      <c r="M7">
        <f t="shared" ref="M7" si="9">M6/M3</f>
        <v>174.56317550211864</v>
      </c>
      <c r="N7">
        <f t="shared" ref="N7" si="10">N6/N3</f>
        <v>59.132215969768325</v>
      </c>
      <c r="O7">
        <f t="shared" ref="O7" si="11">O6/O3</f>
        <v>56.796612644181636</v>
      </c>
      <c r="P7">
        <f t="shared" ref="P7" si="12">P6/P3</f>
        <v>50.977214255831498</v>
      </c>
      <c r="Q7">
        <f t="shared" ref="Q7" si="13">Q6/Q3</f>
        <v>50.493325594892632</v>
      </c>
      <c r="R7">
        <f t="shared" ref="R7" si="14">R6/R3</f>
        <v>47.035755402128004</v>
      </c>
      <c r="S7">
        <f t="shared" ref="S7" si="15">S6/S3</f>
        <v>45.818604185910708</v>
      </c>
    </row>
    <row r="8" spans="1:22" x14ac:dyDescent="0.45">
      <c r="A8" s="6" t="s">
        <v>3</v>
      </c>
      <c r="B8" s="2">
        <f>B2/B7</f>
        <v>1.0350694860673559</v>
      </c>
      <c r="C8" s="2">
        <f t="shared" ref="C8:S8" si="16">C2/C7</f>
        <v>1.3714374074742124</v>
      </c>
      <c r="D8" s="2">
        <f t="shared" si="16"/>
        <v>1.7872216614898657</v>
      </c>
      <c r="E8" s="2">
        <f t="shared" si="16"/>
        <v>1.7462113338456844</v>
      </c>
      <c r="F8" s="2">
        <f t="shared" si="16"/>
        <v>2.1358024338100301</v>
      </c>
      <c r="G8" s="2">
        <f t="shared" si="16"/>
        <v>1.7512051926619587</v>
      </c>
      <c r="H8" s="2">
        <f t="shared" si="16"/>
        <v>1.8725903196953475</v>
      </c>
      <c r="I8" s="2">
        <f t="shared" si="16"/>
        <v>1.7012100463266644</v>
      </c>
      <c r="J8" s="2">
        <f t="shared" si="16"/>
        <v>1.7829918339435866</v>
      </c>
      <c r="K8" s="2">
        <f t="shared" si="16"/>
        <v>1.7587997790801333</v>
      </c>
      <c r="L8" s="2">
        <f t="shared" si="16"/>
        <v>1.6553858088037454</v>
      </c>
      <c r="M8" s="2">
        <f t="shared" si="16"/>
        <v>1.3467903486732036</v>
      </c>
      <c r="N8" s="2">
        <f t="shared" si="16"/>
        <v>4.253180704889882</v>
      </c>
      <c r="O8" s="2">
        <f t="shared" si="16"/>
        <v>4.6640105398457576</v>
      </c>
      <c r="P8" s="2">
        <f t="shared" si="16"/>
        <v>5.4730334733441035</v>
      </c>
      <c r="Q8" s="2">
        <f t="shared" si="16"/>
        <v>4.8224195402298848</v>
      </c>
      <c r="R8" s="2">
        <f t="shared" si="16"/>
        <v>4.9749387035338932</v>
      </c>
      <c r="S8" s="2">
        <f t="shared" si="16"/>
        <v>5.4344737126795293</v>
      </c>
    </row>
    <row r="9" spans="1:22" x14ac:dyDescent="0.45">
      <c r="A9" s="5" t="s">
        <v>44</v>
      </c>
      <c r="B9">
        <v>17</v>
      </c>
      <c r="C9" s="13">
        <f>B9+B9*D11</f>
        <v>17.34</v>
      </c>
      <c r="D9">
        <v>45</v>
      </c>
      <c r="E9">
        <v>50</v>
      </c>
      <c r="F9">
        <v>50</v>
      </c>
      <c r="G9">
        <v>50</v>
      </c>
      <c r="H9">
        <v>40</v>
      </c>
      <c r="I9">
        <v>40</v>
      </c>
      <c r="J9">
        <v>40</v>
      </c>
      <c r="K9">
        <v>30</v>
      </c>
      <c r="L9">
        <v>18</v>
      </c>
      <c r="M9">
        <v>13</v>
      </c>
      <c r="N9">
        <v>16</v>
      </c>
      <c r="O9">
        <v>21</v>
      </c>
      <c r="P9">
        <v>21</v>
      </c>
      <c r="Q9">
        <v>21</v>
      </c>
      <c r="R9">
        <v>21</v>
      </c>
      <c r="S9">
        <v>21</v>
      </c>
    </row>
    <row r="10" spans="1:22" x14ac:dyDescent="0.45">
      <c r="A10" s="5" t="s">
        <v>33</v>
      </c>
      <c r="B10" s="11">
        <v>0.09</v>
      </c>
      <c r="C10" s="11">
        <f>B10</f>
        <v>0.09</v>
      </c>
      <c r="D10" s="11">
        <f t="shared" ref="D10:S11" si="17">C10</f>
        <v>0.09</v>
      </c>
      <c r="E10" s="11">
        <f t="shared" si="17"/>
        <v>0.09</v>
      </c>
      <c r="F10" s="11">
        <f t="shared" si="17"/>
        <v>0.09</v>
      </c>
      <c r="G10" s="11">
        <f t="shared" si="17"/>
        <v>0.09</v>
      </c>
      <c r="H10" s="11">
        <f t="shared" si="17"/>
        <v>0.09</v>
      </c>
      <c r="I10" s="11">
        <f t="shared" si="17"/>
        <v>0.09</v>
      </c>
      <c r="J10" s="11">
        <f t="shared" si="17"/>
        <v>0.09</v>
      </c>
      <c r="K10" s="11">
        <f t="shared" ref="K10" si="18">J10</f>
        <v>0.09</v>
      </c>
      <c r="L10" s="11">
        <f t="shared" ref="L10" si="19">K10</f>
        <v>0.09</v>
      </c>
      <c r="M10" s="11">
        <f t="shared" ref="M10" si="20">L10</f>
        <v>0.09</v>
      </c>
      <c r="N10" s="11">
        <f t="shared" ref="N10" si="21">M10</f>
        <v>0.09</v>
      </c>
      <c r="O10" s="11">
        <f t="shared" ref="O10" si="22">N10</f>
        <v>0.09</v>
      </c>
      <c r="P10" s="11">
        <f t="shared" ref="P10" si="23">O10</f>
        <v>0.09</v>
      </c>
      <c r="Q10" s="11">
        <f t="shared" ref="Q10" si="24">P10</f>
        <v>0.09</v>
      </c>
      <c r="R10" s="11">
        <f t="shared" ref="R10" si="25">Q10</f>
        <v>0.09</v>
      </c>
      <c r="S10" s="11">
        <f t="shared" ref="S10" si="26">R10</f>
        <v>0.09</v>
      </c>
      <c r="T10" s="11"/>
      <c r="U10" s="11"/>
      <c r="V10" s="11"/>
    </row>
    <row r="11" spans="1:22" x14ac:dyDescent="0.45">
      <c r="A11" s="5" t="s">
        <v>32</v>
      </c>
      <c r="B11" s="11">
        <v>0.02</v>
      </c>
      <c r="C11" s="11">
        <f>B11</f>
        <v>0.02</v>
      </c>
      <c r="D11" s="11">
        <f t="shared" si="17"/>
        <v>0.02</v>
      </c>
      <c r="E11" s="11">
        <f t="shared" si="17"/>
        <v>0.02</v>
      </c>
      <c r="F11" s="11">
        <f t="shared" si="17"/>
        <v>0.02</v>
      </c>
      <c r="G11" s="11">
        <f t="shared" si="17"/>
        <v>0.02</v>
      </c>
      <c r="H11" s="11">
        <f t="shared" si="17"/>
        <v>0.02</v>
      </c>
      <c r="I11" s="11">
        <f t="shared" si="17"/>
        <v>0.02</v>
      </c>
      <c r="J11" s="11">
        <f t="shared" si="17"/>
        <v>0.02</v>
      </c>
      <c r="K11" s="11">
        <f t="shared" si="17"/>
        <v>0.02</v>
      </c>
      <c r="L11" s="11">
        <f t="shared" si="17"/>
        <v>0.02</v>
      </c>
      <c r="M11" s="11">
        <f t="shared" si="17"/>
        <v>0.02</v>
      </c>
      <c r="N11" s="11">
        <f t="shared" si="17"/>
        <v>0.02</v>
      </c>
      <c r="O11" s="11">
        <f t="shared" si="17"/>
        <v>0.02</v>
      </c>
      <c r="P11" s="11">
        <f t="shared" si="17"/>
        <v>0.02</v>
      </c>
      <c r="Q11" s="11">
        <f t="shared" si="17"/>
        <v>0.02</v>
      </c>
      <c r="R11" s="11">
        <f t="shared" si="17"/>
        <v>0.02</v>
      </c>
      <c r="S11" s="11">
        <f t="shared" si="17"/>
        <v>0.02</v>
      </c>
      <c r="T11" s="11"/>
      <c r="U11" s="11"/>
      <c r="V11" s="11"/>
    </row>
    <row r="12" spans="1:22" x14ac:dyDescent="0.45">
      <c r="A12" s="5" t="s">
        <v>4</v>
      </c>
      <c r="B12">
        <f>B9/(B10-B11)</f>
        <v>242.85714285714289</v>
      </c>
      <c r="C12">
        <f t="shared" ref="C12:S12" si="27">C9/(C10-C11)</f>
        <v>247.71428571428575</v>
      </c>
      <c r="D12">
        <f t="shared" si="27"/>
        <v>642.85714285714289</v>
      </c>
      <c r="E12">
        <f t="shared" si="27"/>
        <v>714.28571428571433</v>
      </c>
      <c r="F12">
        <f t="shared" si="27"/>
        <v>714.28571428571433</v>
      </c>
      <c r="G12">
        <f t="shared" si="27"/>
        <v>714.28571428571433</v>
      </c>
      <c r="H12">
        <f t="shared" si="27"/>
        <v>571.42857142857144</v>
      </c>
      <c r="I12">
        <f t="shared" si="27"/>
        <v>571.42857142857144</v>
      </c>
      <c r="J12">
        <f t="shared" si="27"/>
        <v>571.42857142857144</v>
      </c>
      <c r="K12">
        <f t="shared" si="27"/>
        <v>428.57142857142861</v>
      </c>
      <c r="L12">
        <f t="shared" si="27"/>
        <v>257.14285714285717</v>
      </c>
      <c r="M12">
        <f t="shared" si="27"/>
        <v>185.71428571428572</v>
      </c>
      <c r="N12">
        <f t="shared" si="27"/>
        <v>228.57142857142858</v>
      </c>
      <c r="O12">
        <f t="shared" si="27"/>
        <v>300.00000000000006</v>
      </c>
      <c r="P12">
        <f t="shared" si="27"/>
        <v>300.00000000000006</v>
      </c>
      <c r="Q12">
        <f t="shared" si="27"/>
        <v>300.00000000000006</v>
      </c>
      <c r="R12">
        <f t="shared" si="27"/>
        <v>300.00000000000006</v>
      </c>
      <c r="S12">
        <f t="shared" si="27"/>
        <v>300.00000000000006</v>
      </c>
    </row>
    <row r="16" spans="1:22" x14ac:dyDescent="0.45">
      <c r="B16" s="2"/>
      <c r="C16" s="2"/>
      <c r="D16" s="2"/>
      <c r="E16" s="2"/>
      <c r="F16" s="2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49C1-21E1-44D3-94B6-5651661CA88F}">
  <dimension ref="A1:V31"/>
  <sheetViews>
    <sheetView zoomScale="96" workbookViewId="0">
      <selection activeCell="J13" sqref="J13"/>
    </sheetView>
  </sheetViews>
  <sheetFormatPr defaultRowHeight="14.25" x14ac:dyDescent="0.45"/>
  <cols>
    <col min="1" max="1" width="29.33203125" customWidth="1"/>
    <col min="2" max="22" width="19.53125" customWidth="1"/>
  </cols>
  <sheetData>
    <row r="1" spans="1:22" ht="28.5" x14ac:dyDescent="0.45">
      <c r="A1" s="4" t="s">
        <v>11</v>
      </c>
      <c r="B1" s="3" t="s">
        <v>8</v>
      </c>
      <c r="C1" s="3" t="s">
        <v>9</v>
      </c>
      <c r="D1" s="3" t="s">
        <v>10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45">
      <c r="A2" s="5" t="s">
        <v>0</v>
      </c>
    </row>
    <row r="3" spans="1:22" x14ac:dyDescent="0.45">
      <c r="A3" s="5" t="s">
        <v>30</v>
      </c>
      <c r="B3">
        <v>15720</v>
      </c>
      <c r="C3">
        <v>16734</v>
      </c>
      <c r="D3">
        <v>18241</v>
      </c>
      <c r="E3">
        <v>10871</v>
      </c>
      <c r="F3">
        <v>7976</v>
      </c>
      <c r="G3">
        <v>6114</v>
      </c>
      <c r="H3">
        <v>8681</v>
      </c>
      <c r="I3">
        <v>10084</v>
      </c>
      <c r="J3">
        <v>12558</v>
      </c>
    </row>
    <row r="4" spans="1:22" x14ac:dyDescent="0.45">
      <c r="A4" s="5" t="s">
        <v>1</v>
      </c>
      <c r="B4" s="1">
        <v>2745368</v>
      </c>
      <c r="C4" s="1">
        <v>2745386</v>
      </c>
      <c r="D4" s="1">
        <v>2745386</v>
      </c>
      <c r="E4" s="1">
        <v>2745386</v>
      </c>
      <c r="F4" s="1">
        <v>2745386</v>
      </c>
      <c r="G4" s="1">
        <v>2745386</v>
      </c>
      <c r="H4" s="1">
        <v>2745386</v>
      </c>
      <c r="I4" s="1">
        <v>2745386</v>
      </c>
      <c r="J4" s="1">
        <v>2745386</v>
      </c>
    </row>
    <row r="5" spans="1:22" x14ac:dyDescent="0.45">
      <c r="A5" s="5" t="s">
        <v>5</v>
      </c>
      <c r="B5">
        <v>1594</v>
      </c>
      <c r="C5">
        <v>1362</v>
      </c>
      <c r="D5">
        <v>996</v>
      </c>
      <c r="E5">
        <v>649</v>
      </c>
      <c r="F5">
        <v>717</v>
      </c>
      <c r="G5">
        <v>616</v>
      </c>
      <c r="H5">
        <v>913</v>
      </c>
      <c r="I5">
        <v>870</v>
      </c>
      <c r="J5">
        <v>926</v>
      </c>
    </row>
    <row r="6" spans="1:22" x14ac:dyDescent="0.45">
      <c r="A6" s="6" t="s">
        <v>2</v>
      </c>
      <c r="B6" s="2">
        <f>B3/B5</f>
        <v>9.8619824341279791</v>
      </c>
      <c r="C6" s="2">
        <f t="shared" ref="C6:J6" si="0">C3/C5</f>
        <v>12.286343612334802</v>
      </c>
      <c r="D6" s="2">
        <f t="shared" si="0"/>
        <v>18.314257028112451</v>
      </c>
      <c r="E6" s="2">
        <f t="shared" si="0"/>
        <v>16.750385208012325</v>
      </c>
      <c r="F6" s="2">
        <f t="shared" si="0"/>
        <v>11.124128312412831</v>
      </c>
      <c r="G6" s="2">
        <f t="shared" si="0"/>
        <v>9.925324675324676</v>
      </c>
      <c r="H6" s="2">
        <f t="shared" si="0"/>
        <v>9.5082146768893754</v>
      </c>
      <c r="I6" s="2">
        <f t="shared" si="0"/>
        <v>11.590804597701149</v>
      </c>
      <c r="J6" s="2">
        <f t="shared" si="0"/>
        <v>13.561555075593953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45">
      <c r="A7" s="5" t="s">
        <v>6</v>
      </c>
      <c r="B7" s="8">
        <v>11761936000</v>
      </c>
      <c r="C7" s="8">
        <v>11189514000</v>
      </c>
      <c r="D7" s="8">
        <v>9463000000</v>
      </c>
      <c r="E7" s="8">
        <v>8341000000</v>
      </c>
      <c r="F7" s="8">
        <v>8661000000</v>
      </c>
      <c r="G7" s="8">
        <v>7952000000</v>
      </c>
      <c r="H7" s="8">
        <v>8922000000</v>
      </c>
      <c r="I7" s="8">
        <v>9177000000</v>
      </c>
      <c r="J7" s="8">
        <v>8271000000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45">
      <c r="A8" s="5" t="s">
        <v>7</v>
      </c>
      <c r="B8">
        <f>B7/B4</f>
        <v>4284.2839284205247</v>
      </c>
      <c r="C8">
        <f t="shared" ref="C8:J8" si="1">C7/C4</f>
        <v>4075.7525535571317</v>
      </c>
      <c r="D8">
        <f t="shared" si="1"/>
        <v>3446.8741371887231</v>
      </c>
      <c r="E8">
        <f t="shared" si="1"/>
        <v>3038.1884368901133</v>
      </c>
      <c r="F8">
        <f t="shared" si="1"/>
        <v>3154.747638401303</v>
      </c>
      <c r="G8">
        <f t="shared" si="1"/>
        <v>2896.4961575530729</v>
      </c>
      <c r="H8">
        <f t="shared" si="1"/>
        <v>3249.8162371338676</v>
      </c>
      <c r="I8">
        <f t="shared" si="1"/>
        <v>3342.699350838097</v>
      </c>
      <c r="J8">
        <f t="shared" si="1"/>
        <v>3012.6911115595403</v>
      </c>
    </row>
    <row r="9" spans="1:22" x14ac:dyDescent="0.45">
      <c r="A9" s="6" t="s">
        <v>3</v>
      </c>
      <c r="B9" s="2">
        <f>B3/B8</f>
        <v>3.6692246038407283</v>
      </c>
      <c r="C9" s="2">
        <f t="shared" ref="C9:J9" si="2">C3/C8</f>
        <v>4.1057448361028017</v>
      </c>
      <c r="D9" s="2">
        <f t="shared" si="2"/>
        <v>5.2920412158934802</v>
      </c>
      <c r="E9" s="2">
        <f t="shared" si="2"/>
        <v>3.5781190751708425</v>
      </c>
      <c r="F9" s="2">
        <f t="shared" si="2"/>
        <v>2.528252942616326</v>
      </c>
      <c r="G9" s="2">
        <f t="shared" si="2"/>
        <v>2.1108262077464786</v>
      </c>
      <c r="H9" s="2">
        <f t="shared" si="2"/>
        <v>2.6712279607711276</v>
      </c>
      <c r="I9" s="2">
        <f t="shared" si="2"/>
        <v>3.0167235942028987</v>
      </c>
      <c r="J9" s="2">
        <f t="shared" si="2"/>
        <v>4.1683662662314109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45">
      <c r="A10" s="5" t="s">
        <v>44</v>
      </c>
      <c r="B10">
        <v>1575</v>
      </c>
      <c r="C10">
        <v>1606</v>
      </c>
      <c r="D10">
        <v>1112</v>
      </c>
      <c r="E10">
        <v>600</v>
      </c>
      <c r="F10">
        <v>880</v>
      </c>
      <c r="G10">
        <v>560</v>
      </c>
      <c r="H10">
        <v>780</v>
      </c>
      <c r="I10">
        <v>1260</v>
      </c>
      <c r="J10">
        <v>920</v>
      </c>
    </row>
    <row r="11" spans="1:22" x14ac:dyDescent="0.45">
      <c r="A11" s="5" t="s">
        <v>49</v>
      </c>
      <c r="B11" s="11">
        <v>0.09</v>
      </c>
      <c r="C11" s="11">
        <f>B11</f>
        <v>0.09</v>
      </c>
      <c r="D11" s="11">
        <f t="shared" ref="D11:J11" si="3">C11</f>
        <v>0.09</v>
      </c>
      <c r="E11" s="11">
        <f t="shared" si="3"/>
        <v>0.09</v>
      </c>
      <c r="F11" s="11">
        <f t="shared" si="3"/>
        <v>0.09</v>
      </c>
      <c r="G11" s="11">
        <f t="shared" si="3"/>
        <v>0.09</v>
      </c>
      <c r="H11" s="11">
        <f t="shared" si="3"/>
        <v>0.09</v>
      </c>
      <c r="I11" s="11">
        <f t="shared" si="3"/>
        <v>0.09</v>
      </c>
      <c r="J11" s="11">
        <f t="shared" si="3"/>
        <v>0.09</v>
      </c>
    </row>
    <row r="12" spans="1:22" x14ac:dyDescent="0.45">
      <c r="A12" s="5" t="s">
        <v>50</v>
      </c>
      <c r="B12" s="11">
        <v>0.02</v>
      </c>
      <c r="C12" s="11">
        <f>B12</f>
        <v>0.02</v>
      </c>
      <c r="D12" s="11">
        <f t="shared" ref="D12:J12" si="4">C12</f>
        <v>0.02</v>
      </c>
      <c r="E12" s="11">
        <f t="shared" si="4"/>
        <v>0.02</v>
      </c>
      <c r="F12" s="11">
        <f t="shared" si="4"/>
        <v>0.02</v>
      </c>
      <c r="G12" s="11">
        <f t="shared" si="4"/>
        <v>0.02</v>
      </c>
      <c r="H12" s="11">
        <f t="shared" si="4"/>
        <v>0.02</v>
      </c>
      <c r="I12" s="11">
        <f t="shared" si="4"/>
        <v>0.02</v>
      </c>
      <c r="J12" s="11">
        <f t="shared" si="4"/>
        <v>0.02</v>
      </c>
    </row>
    <row r="13" spans="1:22" x14ac:dyDescent="0.45">
      <c r="A13" s="5" t="s">
        <v>4</v>
      </c>
      <c r="B13">
        <f>B10/(B11-B12)</f>
        <v>22500.000000000004</v>
      </c>
      <c r="C13">
        <f t="shared" ref="C13:J13" si="5">C10/(C11-C12)</f>
        <v>22942.857142857145</v>
      </c>
      <c r="D13">
        <f t="shared" si="5"/>
        <v>15885.714285714288</v>
      </c>
      <c r="E13">
        <f t="shared" si="5"/>
        <v>8571.4285714285725</v>
      </c>
      <c r="F13">
        <f t="shared" si="5"/>
        <v>12571.428571428572</v>
      </c>
      <c r="G13">
        <f t="shared" si="5"/>
        <v>8000.0000000000009</v>
      </c>
      <c r="H13">
        <f t="shared" si="5"/>
        <v>11142.857142857143</v>
      </c>
      <c r="I13">
        <f t="shared" si="5"/>
        <v>18000.000000000004</v>
      </c>
      <c r="J13">
        <f t="shared" si="5"/>
        <v>13142.857142857145</v>
      </c>
    </row>
    <row r="16" spans="1:22" x14ac:dyDescent="0.45">
      <c r="B16" s="11"/>
    </row>
    <row r="18" spans="1:7" x14ac:dyDescent="0.45">
      <c r="B18" s="2"/>
      <c r="C18" s="2"/>
      <c r="D18" s="2"/>
      <c r="E18" s="2"/>
      <c r="F18" s="2"/>
      <c r="G18" s="2"/>
    </row>
    <row r="19" spans="1:7" x14ac:dyDescent="0.45">
      <c r="F19" s="7"/>
    </row>
    <row r="23" spans="1:7" x14ac:dyDescent="0.45">
      <c r="B23" s="11"/>
    </row>
    <row r="25" spans="1:7" x14ac:dyDescent="0.45">
      <c r="A25" s="11"/>
    </row>
    <row r="31" spans="1:7" x14ac:dyDescent="0.45">
      <c r="A31" t="s">
        <v>47</v>
      </c>
      <c r="B31" t="e">
        <f>(V10/#REF!)^(1/21)-1</f>
        <v>#REF!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95E3F-2F23-4354-B396-DA37C8A4A7EC}">
  <dimension ref="A1:M14"/>
  <sheetViews>
    <sheetView zoomScale="85" zoomScaleNormal="85" workbookViewId="0">
      <selection activeCell="K14" sqref="K14"/>
    </sheetView>
  </sheetViews>
  <sheetFormatPr defaultRowHeight="14.25" x14ac:dyDescent="0.45"/>
  <cols>
    <col min="1" max="1" width="34.86328125" customWidth="1"/>
    <col min="2" max="11" width="17.53125" customWidth="1"/>
  </cols>
  <sheetData>
    <row r="1" spans="1:13" ht="36.4" customHeight="1" x14ac:dyDescent="0.45">
      <c r="A1" s="4" t="s">
        <v>11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3" x14ac:dyDescent="0.45">
      <c r="A2" s="5" t="s">
        <v>30</v>
      </c>
      <c r="B2">
        <v>238</v>
      </c>
      <c r="C2">
        <v>440</v>
      </c>
      <c r="D2">
        <v>473</v>
      </c>
      <c r="E2">
        <v>457</v>
      </c>
      <c r="F2">
        <v>491</v>
      </c>
      <c r="G2">
        <v>593</v>
      </c>
      <c r="H2">
        <v>644.5</v>
      </c>
      <c r="I2">
        <v>738.4</v>
      </c>
      <c r="J2">
        <v>766.9</v>
      </c>
      <c r="K2">
        <v>810</v>
      </c>
    </row>
    <row r="3" spans="1:13" x14ac:dyDescent="0.45">
      <c r="A3" s="5" t="s">
        <v>1</v>
      </c>
      <c r="B3" s="1">
        <v>9229400</v>
      </c>
      <c r="C3" s="1">
        <v>9229400</v>
      </c>
      <c r="D3" s="1">
        <v>9229400</v>
      </c>
      <c r="E3" s="1">
        <v>9229400</v>
      </c>
      <c r="F3" s="1">
        <v>9229400</v>
      </c>
      <c r="G3" s="1">
        <v>9229400</v>
      </c>
      <c r="H3" s="1">
        <v>9229400</v>
      </c>
      <c r="I3" s="1">
        <v>9229400</v>
      </c>
      <c r="J3" s="1">
        <v>9229400</v>
      </c>
      <c r="K3" s="1">
        <v>9229400</v>
      </c>
    </row>
    <row r="4" spans="1:13" x14ac:dyDescent="0.45">
      <c r="A4" s="5" t="s">
        <v>37</v>
      </c>
      <c r="B4">
        <v>1.61</v>
      </c>
      <c r="C4">
        <v>2.25</v>
      </c>
      <c r="D4">
        <v>2.2799999999999998</v>
      </c>
      <c r="E4">
        <v>1.51</v>
      </c>
      <c r="F4">
        <v>2.27</v>
      </c>
      <c r="G4">
        <v>0.15</v>
      </c>
      <c r="H4">
        <v>2.94</v>
      </c>
      <c r="I4">
        <v>2.74</v>
      </c>
      <c r="J4">
        <v>1.61</v>
      </c>
      <c r="K4">
        <v>0.96</v>
      </c>
    </row>
    <row r="5" spans="1:13" x14ac:dyDescent="0.45">
      <c r="A5" s="6" t="s">
        <v>2</v>
      </c>
      <c r="B5" s="2">
        <f>B2/(B4*B10)</f>
        <v>5.5097311575296954</v>
      </c>
      <c r="C5" s="2">
        <f t="shared" ref="C5:K5" si="0">C2/(C4*C10)</f>
        <v>7.4355724545838608</v>
      </c>
      <c r="D5" s="2">
        <f t="shared" si="0"/>
        <v>8.270127181617589</v>
      </c>
      <c r="E5" s="2">
        <f t="shared" si="0"/>
        <v>11.863935971090418</v>
      </c>
      <c r="F5" s="2">
        <f t="shared" si="0"/>
        <v>8.5748090969817898</v>
      </c>
      <c r="G5" s="2">
        <f t="shared" si="0"/>
        <v>143.86220281416789</v>
      </c>
      <c r="H5" s="2">
        <f t="shared" si="0"/>
        <v>7.9139959232790584</v>
      </c>
      <c r="I5" s="2">
        <f t="shared" si="0"/>
        <v>9.9736880494037923</v>
      </c>
      <c r="J5" s="2">
        <f t="shared" si="0"/>
        <v>17.628993476192008</v>
      </c>
      <c r="K5" s="2">
        <f t="shared" si="0"/>
        <v>33.094724455775641</v>
      </c>
    </row>
    <row r="6" spans="1:13" x14ac:dyDescent="0.45">
      <c r="A6" s="5" t="s">
        <v>6</v>
      </c>
      <c r="B6" s="8">
        <v>248243000</v>
      </c>
      <c r="C6" s="8">
        <v>113273000</v>
      </c>
      <c r="D6" s="8">
        <v>129041000</v>
      </c>
      <c r="E6" s="8">
        <v>130764000</v>
      </c>
      <c r="F6" s="8">
        <v>141494000</v>
      </c>
      <c r="G6" s="8">
        <v>125633000</v>
      </c>
      <c r="H6" s="8">
        <v>157641000</v>
      </c>
      <c r="I6" s="8">
        <v>156712000</v>
      </c>
      <c r="J6" s="8">
        <v>158735000</v>
      </c>
      <c r="K6" s="8">
        <v>161310000</v>
      </c>
    </row>
    <row r="7" spans="1:13" x14ac:dyDescent="0.45">
      <c r="A7" s="5" t="s">
        <v>7</v>
      </c>
      <c r="B7">
        <f t="shared" ref="B7:J7" si="1">B6/B3</f>
        <v>26.896981385572193</v>
      </c>
      <c r="C7">
        <f t="shared" si="1"/>
        <v>12.273062170888682</v>
      </c>
      <c r="D7">
        <f t="shared" si="1"/>
        <v>13.981515591479402</v>
      </c>
      <c r="E7">
        <f t="shared" si="1"/>
        <v>14.168201616573125</v>
      </c>
      <c r="F7">
        <f t="shared" si="1"/>
        <v>15.330790733958871</v>
      </c>
      <c r="G7">
        <f t="shared" si="1"/>
        <v>13.612260818688105</v>
      </c>
      <c r="H7">
        <f t="shared" si="1"/>
        <v>17.0803085791059</v>
      </c>
      <c r="I7">
        <f t="shared" si="1"/>
        <v>16.979651981710621</v>
      </c>
      <c r="J7">
        <f t="shared" si="1"/>
        <v>17.198842828352873</v>
      </c>
      <c r="K7">
        <v>31.93</v>
      </c>
    </row>
    <row r="8" spans="1:13" x14ac:dyDescent="0.45">
      <c r="A8" s="6" t="s">
        <v>3</v>
      </c>
      <c r="B8" s="2">
        <f>B2/(B7*B10)</f>
        <v>0.32980158763767908</v>
      </c>
      <c r="C8" s="2">
        <f>C2/(C7*C10)</f>
        <v>1.3631510856758153</v>
      </c>
      <c r="D8" s="2">
        <f t="shared" ref="D8:K8" si="2">D2/(D7*D10)</f>
        <v>1.3486299000073521</v>
      </c>
      <c r="E8" s="2">
        <f t="shared" si="2"/>
        <v>1.2644189997544331</v>
      </c>
      <c r="F8" s="2">
        <f t="shared" si="2"/>
        <v>1.2696551005051948</v>
      </c>
      <c r="G8" s="2">
        <f t="shared" si="2"/>
        <v>1.5852862878221659</v>
      </c>
      <c r="H8" s="2">
        <f t="shared" si="2"/>
        <v>1.3622205890883499</v>
      </c>
      <c r="I8" s="2">
        <f t="shared" si="2"/>
        <v>1.6094502575672482</v>
      </c>
      <c r="J8" s="2">
        <f t="shared" si="2"/>
        <v>1.6502668103855991</v>
      </c>
      <c r="K8" s="2">
        <f t="shared" si="2"/>
        <v>0.99501833628389036</v>
      </c>
    </row>
    <row r="9" spans="1:13" x14ac:dyDescent="0.45">
      <c r="A9" s="5" t="s">
        <v>44</v>
      </c>
      <c r="B9">
        <v>0.9</v>
      </c>
      <c r="C9">
        <v>0.95</v>
      </c>
      <c r="D9">
        <v>1</v>
      </c>
      <c r="E9">
        <v>1.05</v>
      </c>
      <c r="F9">
        <v>1.05</v>
      </c>
      <c r="G9">
        <v>1.1000000000000001</v>
      </c>
      <c r="H9">
        <v>1.1499999999999999</v>
      </c>
      <c r="I9">
        <v>1.25</v>
      </c>
      <c r="J9">
        <v>1.3</v>
      </c>
      <c r="K9" s="13">
        <f>J9+J9*J12</f>
        <v>1.417</v>
      </c>
    </row>
    <row r="10" spans="1:13" x14ac:dyDescent="0.45">
      <c r="A10" s="5" t="s">
        <v>36</v>
      </c>
      <c r="B10">
        <v>26.83</v>
      </c>
      <c r="C10">
        <v>26.3</v>
      </c>
      <c r="D10">
        <v>25.085000000000001</v>
      </c>
      <c r="E10">
        <v>25.51</v>
      </c>
      <c r="F10">
        <v>25.225000000000001</v>
      </c>
      <c r="G10">
        <v>27.48</v>
      </c>
      <c r="H10">
        <v>27.7</v>
      </c>
      <c r="I10">
        <v>27.02</v>
      </c>
      <c r="J10">
        <v>27.02</v>
      </c>
      <c r="K10">
        <v>25.495000000000001</v>
      </c>
    </row>
    <row r="11" spans="1:13" x14ac:dyDescent="0.45">
      <c r="A11" s="5" t="s">
        <v>48</v>
      </c>
      <c r="B11">
        <f>B9*B10</f>
        <v>24.146999999999998</v>
      </c>
      <c r="C11">
        <f t="shared" ref="C11:K11" si="3">C9*C10</f>
        <v>24.984999999999999</v>
      </c>
      <c r="D11">
        <f t="shared" si="3"/>
        <v>25.085000000000001</v>
      </c>
      <c r="E11">
        <f t="shared" si="3"/>
        <v>26.785500000000003</v>
      </c>
      <c r="F11">
        <f t="shared" si="3"/>
        <v>26.486250000000002</v>
      </c>
      <c r="G11">
        <f t="shared" si="3"/>
        <v>30.228000000000002</v>
      </c>
      <c r="H11">
        <f t="shared" si="3"/>
        <v>31.854999999999997</v>
      </c>
      <c r="I11">
        <f t="shared" si="3"/>
        <v>33.774999999999999</v>
      </c>
      <c r="J11">
        <f t="shared" si="3"/>
        <v>35.125999999999998</v>
      </c>
      <c r="K11">
        <f t="shared" si="3"/>
        <v>36.126415000000001</v>
      </c>
    </row>
    <row r="12" spans="1:13" x14ac:dyDescent="0.45">
      <c r="A12" s="5" t="s">
        <v>32</v>
      </c>
      <c r="B12" s="11">
        <v>0.09</v>
      </c>
      <c r="C12" s="11">
        <f>B12</f>
        <v>0.09</v>
      </c>
      <c r="D12" s="11">
        <f t="shared" ref="D12:K13" si="4">C12</f>
        <v>0.09</v>
      </c>
      <c r="E12" s="11">
        <f t="shared" si="4"/>
        <v>0.09</v>
      </c>
      <c r="F12" s="11">
        <f t="shared" si="4"/>
        <v>0.09</v>
      </c>
      <c r="G12" s="11">
        <f t="shared" si="4"/>
        <v>0.09</v>
      </c>
      <c r="H12" s="11">
        <f t="shared" si="4"/>
        <v>0.09</v>
      </c>
      <c r="I12" s="11">
        <f t="shared" si="4"/>
        <v>0.09</v>
      </c>
      <c r="J12" s="11">
        <f t="shared" si="4"/>
        <v>0.09</v>
      </c>
      <c r="K12" s="11">
        <f t="shared" si="4"/>
        <v>0.09</v>
      </c>
      <c r="L12" s="11"/>
      <c r="M12" s="11"/>
    </row>
    <row r="13" spans="1:13" x14ac:dyDescent="0.45">
      <c r="A13" s="5" t="s">
        <v>33</v>
      </c>
      <c r="B13" s="11">
        <v>0.02</v>
      </c>
      <c r="C13" s="11">
        <f>B13</f>
        <v>0.02</v>
      </c>
      <c r="D13" s="11">
        <f t="shared" si="4"/>
        <v>0.02</v>
      </c>
      <c r="E13" s="11">
        <f t="shared" si="4"/>
        <v>0.02</v>
      </c>
      <c r="F13" s="11">
        <f t="shared" si="4"/>
        <v>0.02</v>
      </c>
      <c r="G13" s="11">
        <f t="shared" si="4"/>
        <v>0.02</v>
      </c>
      <c r="H13" s="11">
        <f t="shared" si="4"/>
        <v>0.02</v>
      </c>
      <c r="I13" s="11">
        <f t="shared" si="4"/>
        <v>0.02</v>
      </c>
      <c r="J13" s="11">
        <f t="shared" si="4"/>
        <v>0.02</v>
      </c>
      <c r="K13" s="11">
        <f t="shared" si="4"/>
        <v>0.02</v>
      </c>
      <c r="L13" s="11"/>
      <c r="M13" s="11"/>
    </row>
    <row r="14" spans="1:13" x14ac:dyDescent="0.45">
      <c r="A14" s="5" t="s">
        <v>43</v>
      </c>
      <c r="B14">
        <f>B11/(B12-B13)</f>
        <v>344.95714285714286</v>
      </c>
      <c r="C14">
        <f t="shared" ref="C14:K14" si="5">C11/(C12-C13)</f>
        <v>356.92857142857144</v>
      </c>
      <c r="D14">
        <f t="shared" si="5"/>
        <v>358.35714285714289</v>
      </c>
      <c r="E14">
        <f t="shared" si="5"/>
        <v>382.65000000000009</v>
      </c>
      <c r="F14">
        <f t="shared" si="5"/>
        <v>378.37500000000006</v>
      </c>
      <c r="G14">
        <f t="shared" si="5"/>
        <v>431.82857142857148</v>
      </c>
      <c r="H14">
        <f t="shared" si="5"/>
        <v>455.07142857142856</v>
      </c>
      <c r="I14">
        <f t="shared" si="5"/>
        <v>482.50000000000006</v>
      </c>
      <c r="J14">
        <f t="shared" si="5"/>
        <v>501.8</v>
      </c>
      <c r="K14">
        <f t="shared" si="5"/>
        <v>516.09164285714292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ČEZ</vt:lpstr>
      <vt:lpstr>Erste Group</vt:lpstr>
      <vt:lpstr>KB</vt:lpstr>
      <vt:lpstr>VIG</vt:lpstr>
      <vt:lpstr>MONETA</vt:lpstr>
      <vt:lpstr>KOFOLA</vt:lpstr>
      <vt:lpstr>COLTCZ</vt:lpstr>
      <vt:lpstr>O2 CR</vt:lpstr>
      <vt:lpstr>Phillip Morris</vt:lpstr>
      <vt:lpstr>PFNONWOVENS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T</dc:creator>
  <cp:lastModifiedBy>N T</cp:lastModifiedBy>
  <dcterms:created xsi:type="dcterms:W3CDTF">2025-10-04T12:36:04Z</dcterms:created>
  <dcterms:modified xsi:type="dcterms:W3CDTF">2026-03-06T11:58:01Z</dcterms:modified>
</cp:coreProperties>
</file>